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8_{EA1DEB3C-482B-6E4B-95A5-048C5180D84A}" xr6:coauthVersionLast="47" xr6:coauthVersionMax="47" xr10:uidLastSave="{00000000-0000-0000-0000-000000000000}"/>
  <bookViews>
    <workbookView xWindow="0" yWindow="760" windowWidth="30240" windowHeight="17780"/>
  </bookViews>
  <sheets>
    <sheet name="test_results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1" l="1"/>
  <c r="S6" i="1"/>
  <c r="T6" i="1"/>
  <c r="U6" i="1"/>
  <c r="R7" i="1"/>
  <c r="S7" i="1"/>
  <c r="T7" i="1"/>
  <c r="U7" i="1"/>
  <c r="R8" i="1"/>
  <c r="S8" i="1"/>
  <c r="T8" i="1"/>
  <c r="U8" i="1"/>
  <c r="R9" i="1"/>
  <c r="S9" i="1"/>
  <c r="T9" i="1"/>
  <c r="U9" i="1"/>
  <c r="R10" i="1"/>
  <c r="S10" i="1"/>
  <c r="T10" i="1"/>
  <c r="U10" i="1"/>
  <c r="R11" i="1"/>
  <c r="S11" i="1"/>
  <c r="T11" i="1"/>
  <c r="U11" i="1"/>
  <c r="R12" i="1"/>
  <c r="S12" i="1"/>
  <c r="T12" i="1"/>
  <c r="U12" i="1"/>
  <c r="R13" i="1"/>
  <c r="S13" i="1"/>
  <c r="T13" i="1"/>
  <c r="U13" i="1"/>
  <c r="R14" i="1"/>
  <c r="S14" i="1"/>
  <c r="T14" i="1"/>
  <c r="U14" i="1"/>
  <c r="R15" i="1"/>
  <c r="S15" i="1"/>
  <c r="T15" i="1"/>
  <c r="U15" i="1"/>
  <c r="R16" i="1"/>
  <c r="S16" i="1"/>
  <c r="T16" i="1"/>
  <c r="U16" i="1"/>
  <c r="R17" i="1"/>
  <c r="S17" i="1"/>
  <c r="T17" i="1"/>
  <c r="U17" i="1"/>
  <c r="R18" i="1"/>
  <c r="S18" i="1"/>
  <c r="T18" i="1"/>
  <c r="U18" i="1"/>
  <c r="U5" i="1"/>
  <c r="T5" i="1"/>
  <c r="S5" i="1"/>
  <c r="R5" i="1"/>
  <c r="Q4" i="1" a="1"/>
  <c r="Q4" i="1" s="1"/>
  <c r="K5" i="1"/>
  <c r="K4" i="1"/>
  <c r="J5" i="1"/>
  <c r="J4" i="1"/>
  <c r="J15" i="1" l="1"/>
  <c r="J14" i="1"/>
  <c r="J11" i="1"/>
  <c r="J16" i="1"/>
  <c r="W5" i="1"/>
  <c r="J7" i="1"/>
  <c r="J8" i="1" s="1"/>
  <c r="J10" i="1"/>
  <c r="W14" i="1"/>
  <c r="W17" i="1"/>
  <c r="V10" i="1"/>
  <c r="V16" i="1"/>
  <c r="W7" i="1"/>
  <c r="W10" i="1"/>
  <c r="W13" i="1"/>
  <c r="V11" i="1" l="1"/>
  <c r="W16" i="1"/>
  <c r="W11" i="1"/>
  <c r="V18" i="1"/>
  <c r="W18" i="1"/>
  <c r="V7" i="1"/>
  <c r="V13" i="1"/>
  <c r="W8" i="1"/>
  <c r="J12" i="1"/>
  <c r="V6" i="1"/>
  <c r="V15" i="1"/>
  <c r="W12" i="1"/>
  <c r="W15" i="1"/>
  <c r="V12" i="1"/>
  <c r="V9" i="1"/>
  <c r="V14" i="1"/>
  <c r="V17" i="1"/>
  <c r="W6" i="1"/>
  <c r="V5" i="1"/>
  <c r="W9" i="1"/>
  <c r="V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<sst xmlns="http://schemas.openxmlformats.org/spreadsheetml/2006/main" count="925" uniqueCount="265">
  <si>
    <t>Punching</t>
  </si>
  <si>
    <t>A_group_fitness_class_pulsates_with_ener</t>
  </si>
  <si>
    <t>MilitaryParade</t>
  </si>
  <si>
    <t>Soldiers_march_in_unison,_a_majestic_military_parade_display</t>
  </si>
  <si>
    <t>BabyCrawling</t>
  </si>
  <si>
    <t>In_a_baby_playgroup,_crawling_becomes_a_</t>
  </si>
  <si>
    <t>CuttingInKitchen</t>
  </si>
  <si>
    <t>Cook's_expert_knife_skills_make_quick_work_of_meal_prep</t>
  </si>
  <si>
    <t>Surfing</t>
  </si>
  <si>
    <t>The_surfer's_journey_along_the_coastline_is_a_quest_for_the_perfect_wave,_each_ride_a_fusion_of_skill,_intuition,_and_respect_for_the_ocean's_immense_power,_a_pursuit_that_fuels_their_passion_for_the_sport</t>
  </si>
  <si>
    <t>In_a_renowned_surfing_competition,_surfe</t>
  </si>
  <si>
    <t>Kayaking</t>
  </si>
  <si>
    <t>In_a_group_kayaking_tour,_individuals_co</t>
  </si>
  <si>
    <t>Diving</t>
  </si>
  <si>
    <t>On_a_sunny_day_at_the_beach,_a_group_of_</t>
  </si>
  <si>
    <t>As_the_boxer's_gloves_make_contact_with_the_bag,_the_sound_is_a_testament_to_their_skill,_the_culmination_of_years_of_training,_each_punch_a_building_block_in_the_construction_of_their_athletic_legacy</t>
  </si>
  <si>
    <t>PoleVault</t>
  </si>
  <si>
    <t>Under_the_bright_lights_of_the_stadium,_the_athlete_takes_a_deep_breath,_dashes_towards_the_bar,_and_executes_a_flawless_pole_vault,_their_body_arching_perfectly_as_they_fly_over_the_bar</t>
  </si>
  <si>
    <t>HorseRiding</t>
  </si>
  <si>
    <t>Horse_riding_adventure,_exploring_trails_with_enthusiasm_and_grace</t>
  </si>
  <si>
    <t>BasketballDunking</t>
  </si>
  <si>
    <t>In_an_exhilarating_moment_of_the_basketb</t>
  </si>
  <si>
    <t>Fencing</t>
  </si>
  <si>
    <t>Swordplay_at_its_finest,_fencing_athletes_showcase_their_prowess</t>
  </si>
  <si>
    <t>TaiChi</t>
  </si>
  <si>
    <t>The_serenity_of_the_setting_enhances_the_Taichi_movements,_each_form_executed_with_a_grace_that_echoes_the_tranquility_of_the_surroundings</t>
  </si>
  <si>
    <t>DogWalking</t>
  </si>
  <si>
    <t>Exploring_the_nature_trails,_person_walking_with_their_loyal_dog</t>
  </si>
  <si>
    <t>SalsaSpin</t>
  </si>
  <si>
    <t>As_she_spins,_the_salsa_dancer's_dress_flares_around_her,_creating_a_stunning_visual_spectacle_that_complements_her_precise_footwork_and_fluid_movements,_embodying_the_spirit_of_salsa_in_every_step</t>
  </si>
  <si>
    <t>As_the_military_band_leads_the_way,_the_parade_of_soldiers_follows,_their_synchronized_steps_a_melody_of_discipline_and_commitment</t>
  </si>
  <si>
    <t>ThrowDiscuss</t>
  </si>
  <si>
    <t>Discuss_throw,_field_event</t>
  </si>
  <si>
    <t>As_the_game's_intensity_reaches_its_peak,_a_player,_fueled_by_the_roar_of_the_crowd,_breaks_past_defenders_and_launches_into_an_epic_dunk,_a_display_of_raw_power_and_sheer_will_that_electrifies_the_stadium</t>
  </si>
  <si>
    <t>At_a_national_fencing_tournament,_athlet</t>
  </si>
  <si>
    <t>Basketball_athlete_shows_off_amazing_vertical_leap_and_dunk</t>
  </si>
  <si>
    <t>In_a_spotlight,_salsa_dancer_spins_elegantly,_audience_applauding</t>
  </si>
  <si>
    <t>Peaceful_Taichi,_morning_routine</t>
  </si>
  <si>
    <t>In_the_early_morning_mist,_a_kayaker_set</t>
  </si>
  <si>
    <t>Fighter's_punch_cuts_through_the_air,_targeting_the_opponent's_defense</t>
  </si>
  <si>
    <t>Fencers'_blades_meet_in_a_display_of_agility_and_tactics</t>
  </si>
  <si>
    <t>Graceful_salsa_artist_performs_intricate_spins_on_the_dance_floor</t>
  </si>
  <si>
    <t>Graceful_water_entry,_diver</t>
  </si>
  <si>
    <t>With_every_punch,_the_boxer's_determination_is_evident,_the_sound_echoing_in_the_gym_as_a_testament_to_their_hard_work_and_ambition</t>
  </si>
  <si>
    <t>Every_inch_the_baby_crawls_brings_a_new_perspective,_a_world_once_out_of_reach_now_within_their_grasp,_each_small_achievement_a_source_of_immense_pride_and_joy_for_their_parents</t>
  </si>
  <si>
    <t>In_a_moment_of_perfect_harmony_between_athlete_and_discipline,_the_discus_arcs_majestically_through_the_air,_a_symbol_of_strength_and_determination</t>
  </si>
  <si>
    <t>Throwing_the_discus,_athlete_combines_strength,_skill,_and_strategy</t>
  </si>
  <si>
    <t>In_the_quiet_of_the_morning,_the_rider_and_horse_embark_on_a_journey_through_misty_fields,_a_picturesque_scene_of_calm_and_beauty</t>
  </si>
  <si>
    <t>Powerful_and_agile,_player_makes_a_remarkable_dunk_in_the_match</t>
  </si>
  <si>
    <t>Catching_waves,_surfing_fun</t>
  </si>
  <si>
    <t>As_the_fencers_vie_for_dominance,_their_fluid_movements_and_sharp_tactics_illustrate_the_sport's_unique_combination_of_elegance_and_intensity</t>
  </si>
  <si>
    <t>Navigating_challenging_whitewater,_kayaker_demonstrates_expert_control</t>
  </si>
  <si>
    <t>The_salsa_dancer's_performance_is_a_captivating_blend_of_technique_and_emotion,_her_spins_a_series_of_breathtaking_moments_that_showcase_her_deep_connection_to_the_music_and_her_love_for_the_dance</t>
  </si>
  <si>
    <t>In_a_harmony_of_cutting_and_cooking,_the_chef_orchestrates_the_transformation_of_raw_ingredients_into_a_culinary_symphony,_each_chop_and_slice_a_note_in_the_flavorful_composition_of_the_dish</t>
  </si>
  <si>
    <t>Parade_ground,_troops_align</t>
  </si>
  <si>
    <t>Athletic_vault,_pole_swing</t>
  </si>
  <si>
    <t>Baby_moving,_floor_exploration</t>
  </si>
  <si>
    <t>The_game_is_in_its_final,_tense_moments,</t>
  </si>
  <si>
    <t>Basketball_dunk_in_action</t>
  </si>
  <si>
    <t>Solo_kayaker_enjoys_the_solitude_of_a_misty_morning_on_the_water</t>
  </si>
  <si>
    <t>The_pole_vaulter's_graceful_ascent_over_the_bar_captivates_the_spectators,_each_phase_of_their_vault_a_testament_to_years_of_training</t>
  </si>
  <si>
    <t>Through_narrow_passages_and_open_waters,_the_kayaker's_skill_is_evident,_their_connection_with_the_kayak_and_nature_seamlessly_intertwined</t>
  </si>
  <si>
    <t>In_the_bustling_atmosphere_of_the_kitchen,_a_chef_expertly_slices_through_an_array_of_colorful_vegetables,_each_cut_precise_and_swift,_a_demonstration_of_culinary_skill_and_a_passion_for_creating_flavorsome_dishes</t>
  </si>
  <si>
    <t>The_Taichi_practitioner_moves_with_a_serenity_that_captivates_onlookers,_their_slow,_deliberate_motions_a_dance_between_strength_and_softness,_a_physical_expression_of_inner_calm_and_clarity</t>
  </si>
  <si>
    <t>Practicing_Taichi,_serene_motion</t>
  </si>
  <si>
    <t>The_athlete's_connection_with_the_discus_is_palpable,_each_spin_a_build-up_of_energy,_the_release_a_moment_of_exhilarating_freedom,_the_discus_journeying_far,_a_testament_to_their_mastery_of_the_sport</t>
  </si>
  <si>
    <t>In_a_dazzling_display_of_skill_and_passi</t>
  </si>
  <si>
    <t>Owner_and_dog_walking</t>
  </si>
  <si>
    <t>Navigating_rapids,_kayak_skill</t>
  </si>
  <si>
    <t>The_infant's_journey_across_the_floor_is_a_series_of_discoveries,_each_crawl_bringing_them_closer_to_new_experiences_and_learning</t>
  </si>
  <si>
    <t>In_the_exhilarating_rush_of_a_competitive_race,_the_rider_and_horse_move_as_one,_their_speed_and_agility_on_full_display,_a_captivating_spectacle_of_athletic_prowess_and_unity</t>
  </si>
  <si>
    <t>Pole_vaulter,_soaring_leap</t>
  </si>
  <si>
    <t>Elegant_horse,_rider's_grace</t>
  </si>
  <si>
    <t>On_a_university_campus,_a_fencing_club_g</t>
  </si>
  <si>
    <t>On_a_colorful,_interactive_play_mat,_a_b</t>
  </si>
  <si>
    <t>The_discus_cuts_a_path_through_the_sky,_the_thrower's_expertise_and_dedication_manifesting_in_the_distance_it_covers_before_landing</t>
  </si>
  <si>
    <t>Sunset_walk,_person_and_dog_enjoying_the_tranquil_environment</t>
  </si>
  <si>
    <t>As_the_military_parade_moves_through_the</t>
  </si>
  <si>
    <t>The_ocean_roars_around_the_surfer,_who_deftly_maneuvers_their_board,_riding_the_wave_with_a_blend_of_fearlessness_and_finesse</t>
  </si>
  <si>
    <t>In_a_flurry_of_activity,_the_chef_expertly_cuts,_chops,_and_slices,_their_hands_a_blur_of_motion,_each_movement_a_testament_to_their_skill_and_passion_for_cooking</t>
  </si>
  <si>
    <t>In_a_professional_kitchen,_a_sous-chef_m</t>
  </si>
  <si>
    <t>Soldiers_stride,_parade_rhythm</t>
  </si>
  <si>
    <t>Her_spins_are_not_just_movements_but_expressions_of_joy,_each_twirl_a_celebration_of_the_music_and_culture_that_salsa_represents</t>
  </si>
  <si>
    <t>In_the_center_of_a_ring,_a_professional_</t>
  </si>
  <si>
    <t>As_the_Taichi_practitioner_flows_through_their_routine,_their_movements_tell_a_story_of_discipline,_respect_for_tradition,_and_a_continuous_journey_of_personal_and_spiritual_growth</t>
  </si>
  <si>
    <t>As_the_sun_sets,_painting_the_sky_with_b</t>
  </si>
  <si>
    <t>The_fighter's_combination_of_jabs_and_crosses_is_a_rhythm_of_precision_and_power,_the_punching_bag_absorbing_each_hit_with_a_satisfying_thud</t>
  </si>
  <si>
    <t>Athletes_fence,_skillful_parry</t>
  </si>
  <si>
    <t>The_crowd_watches_in_awe_as_the_diver_performs_a_complex_routine,_their_form_flawless,_the_dive_culminating_in_a_seamless_entry_into_the_pool</t>
  </si>
  <si>
    <t>Taichi_movements_flow_like_water,_embodying_calm_and_strength</t>
  </si>
  <si>
    <t>In_a_sunlit_kitchen,_a_chef_meticulously</t>
  </si>
  <si>
    <t>On_a_serene_lake,_a_kayaker_glides_effor</t>
  </si>
  <si>
    <t>High_leap,_basketball_dunk</t>
  </si>
  <si>
    <t>With_each_leap_over_obstacles,_the_rider_and_horse_demonstrate_a_powerful_partnership,_overcoming_challenges_with_grace_and_determination,_a_beautiful_illustration_of_teamwork_and_trust</t>
  </si>
  <si>
    <t>The_sound_of_marching_boots_fills_the_air_as_the_military_parade_demonstrates_the_harmony_and_strength_of_the_armed_forces</t>
  </si>
  <si>
    <t>With_every_slice,_the_chef_demonstrates_their_mastery_over_the_art_of_cooking,_turning_simple_ingredients_into_components_of_an_exquisite_meal</t>
  </si>
  <si>
    <t>Fluid_Taichi_sequences,_the_practitioner's_movements_are_meditative</t>
  </si>
  <si>
    <t>Crowd_watches_in_awe_as_player_dunks_the_ball_forcefully</t>
  </si>
  <si>
    <t>By_the_riverside,_where_the_water_flows_</t>
  </si>
  <si>
    <t>Surrounded_by_the_peaceful_sounds_of_nature,_the_Taichi_master_fluidly_transitions_between_poses,_embodying_the_essence_of_calm_and_balance</t>
  </si>
  <si>
    <t>With_each_determined_crawl,_the_baby_encounters_new_sights_and_sounds,_their_journey_a_series_of_delightful_discoveries_that_spark_joy_and_wonder_in_their_bright_eyes</t>
  </si>
  <si>
    <t>Riding_through_the_countryside,_horse_and_rider_enjoy_the_scenery</t>
  </si>
  <si>
    <t>Athlete_pole_vaulting_high</t>
  </si>
  <si>
    <t>Salsa_dance,_elegant_spin</t>
  </si>
  <si>
    <t>With_the_rhythm_of_the_game_intensifying,_a_player_takes_the_ball,_weaving_through_the_defense_with_remarkable_agility,_and_leaps_up,_slamming_the_ball_into_the_hoop,_a_moment_that_captures_the_essence_of_basketball</t>
  </si>
  <si>
    <t>In_a_display_of_athletic_prowess,_the_discus_leaves_the_athlete's_hand,_flying_gracefully_across_the_field,_each_meter_gained_a_testament_to_their_skill</t>
  </si>
  <si>
    <t>Masterful_chopping_technique,_chef_cuts_with_rhythm_and_precision</t>
  </si>
  <si>
    <t>As_the_baby_crawls,_they_forge_a_path_of_learning_and_growth,_their_journey_marked_by_moments_of_triumph_and_the_unconditional_love_of_their_family,_cheering_them_on_at_every_turn</t>
  </si>
  <si>
    <t>Playful_crawling_session,_baby_laughs_and_reaches_for_a_ball</t>
  </si>
  <si>
    <t>Practicing_Taichi_in_the_park,_each_movement_calm_and_precise</t>
  </si>
  <si>
    <t>Through_the_heart_of_the_capital,_the_so</t>
  </si>
  <si>
    <t>Dog_walking,_owner_leads</t>
  </si>
  <si>
    <t>As_the_wave_builds,_the_surfer's_anticipation_peaks,_and_they_launch_into_a_ride_that_is_both_a_challenge_and_a_celebration_of_the_ocean's_energy</t>
  </si>
  <si>
    <t>Athletes_cross_swords_in_a_dance_of_strategy_and_agility</t>
  </si>
  <si>
    <t>The_kitchen_buzzes_with_energy_as_the_chef_expertly_handles_the_knife,_each_cut_an_expression_of_culinary_passion,_turning_fresh_ingredients_into_a_canvas_of_flavors_and_textures</t>
  </si>
  <si>
    <t>Crawling_baby,_happy_giggles</t>
  </si>
  <si>
    <t>Strength_in_discuss_throw</t>
  </si>
  <si>
    <t>The_kayaker's_journey_down_the_river_is_a_blend_of_adrenaline_and_peace,_each_moment_on_the_water_an_exhilarating_escape_from_the_everyday</t>
  </si>
  <si>
    <t>In_the_kayak,_the_paddler_finds_freedom,_each_stroke_taking_them_further_into_the_heart_of_the_wilderness,_surrounded_by_natural_splendor</t>
  </si>
  <si>
    <t>Morning_Taichi_practice_becomes_a_ritual_of_self-reflection,_each_slow_turn_and_stretch_a_journey_towards_inner_tranquility</t>
  </si>
  <si>
    <t>In_a_well-equipped_gym,_a_boxer_stands_i</t>
  </si>
  <si>
    <t>The_fencing_bout_is_a_physical_chess_match,_with_each_athlete_strategically_planning_their_moves,_their_quick_footwork_and_rapid_blade_work_a_thrilling_display_of_sport_and_intellect</t>
  </si>
  <si>
    <t>Solemn_military_parade,_soldiers_march_with_pride_and_dignity</t>
  </si>
  <si>
    <t>Walking_with_a_playful_dog,_both_relishing_the_outdoor_adventure</t>
  </si>
  <si>
    <t>The_rider_guides_the_horse_over_rolling_hills_and_through_verdant_fields,_the_wind_in_their_hair,_a_feeling_of_freedom_and_unity_enveloping_them</t>
  </si>
  <si>
    <t>Boxing_match,_fierce_punch</t>
  </si>
  <si>
    <t>Diver_ascends_gracefully,_then_plunges_into_the_water_with_precision</t>
  </si>
  <si>
    <t>In_the_peaceful_setting_of_a_community_c</t>
  </si>
  <si>
    <t>Equestrian_show,_horse_jumps</t>
  </si>
  <si>
    <t>With_the_crowd_watching_in_awe,_the_pole_vaulter_gathers_speed,_plants_the_pole,_and_soars_over_the_bar,_each_phase_of_their_vault_a_testament_to_years_of_training_and_dedication_to_the_sport</t>
  </si>
  <si>
    <t>Water_plunge,_diving_grace</t>
  </si>
  <si>
    <t>Strolling_down_a_winding_path,_the_dog_eagerly_explores,_its_owner_following,_both_basking_in_the_peacefulness_of_their_surroundings</t>
  </si>
  <si>
    <t>Navigating_the_challenging_rapids,_the_kayaker_maneuvers_with_skill_and_precision,_their_kayak_cutting_through_the_water,_turning_and_twisting,_a_thrilling_dance_with_the_river's_unpredictable_currents</t>
  </si>
  <si>
    <t>Surfing_challenge,_wave_conquering</t>
  </si>
  <si>
    <t>Pole_vaulter_soars_over_the_high_bar,_crowd_cheering_loudly</t>
  </si>
  <si>
    <t>At_a_diving_school,_students_learn_the_a</t>
  </si>
  <si>
    <t>As_the_wave_curls_around_them,_the_surfer_deftly_maneuvers_their_board,_riding_the_barrel_with_an_expertise_that_speaks_of_years_spent_mastering_the_waves,_a_moment_of_pure_exhilaration_and_harmony_with_the_ocean</t>
  </si>
  <si>
    <t>A_professional_sushi_chef_slices_sashimi</t>
  </si>
  <si>
    <t>The_surfer's_journey_on_the_wave_is_a_display_of_agility_and_courage,_a_moment_where_human_spirit_and_ocean's_force_unite_in_harmony</t>
  </si>
  <si>
    <t>The_dog's_enthusiastic_energy_is_infectious,_leading_its_owner_on_an_adventurous_walk_through_the_vibrant_neighborhood</t>
  </si>
  <si>
    <t>During_a_night_dive,_a_diver_immerses_th</t>
  </si>
  <si>
    <t>In_a_playful_and_educational_setting,_a_</t>
  </si>
  <si>
    <t>Track_and_field_event,_vaulter's_incredible_jump_over_the_bar</t>
  </si>
  <si>
    <t>As_the_pole_vaulter_steps_onto_the_runwa</t>
  </si>
  <si>
    <t>Through_a_field_of_wildflowers,_a_person_and_their_dog_meander,_the_dog's_joyful_leaps_and_bounds_a_reflection_of_the_freedom_and_beauty_surrounding_them</t>
  </si>
  <si>
    <t>The_salsa_dancer's_spins_are_a_blend_of_fluidity_and_precision,_leaving_the_audience_mesmerized_by_the_elegance_of_her_every_turn_and_twist</t>
  </si>
  <si>
    <t>At_dawn,_as_the_world_awakens,_a_solitar</t>
  </si>
  <si>
    <t>On_a_scenic_beach,_a_rider_gallops_along</t>
  </si>
  <si>
    <t>Paddling_through_the_misty_morning_waters,_the_kayaker_enjoys_a_world_transformed_by_the_fog,_a_magical_ambiance_that_makes_each_stroke_feel_like_a_brush_with_the_unknown,_a_serene_start_to_the_day</t>
  </si>
  <si>
    <t>A_snowy_winter_walk,_where_a_person_and_their_dog_explore_a_landscape_transformed_into_a_wonderland,_the_dog's_playful_antics_bringing_laughter_and_warmth</t>
  </si>
  <si>
    <t>The_complex_dive_is_a_spectacle_of_athletic_prowess,_the_diver_effortlessly_executing_flips_and_somersaults,_their_seamless_entry_into_the_water_a_reflection_of_years_of_dedication_and_passion</t>
  </si>
  <si>
    <t>Precision_and_poise_dominate_the_fencing_bout,_as_each_athlete_counters_their_opponent's_moves_with_swift_and_calculated_responses</t>
  </si>
  <si>
    <t>Surfboard_glides,_wave_mastery</t>
  </si>
  <si>
    <t>Under_the_golden_sunset,_the_horse_and_rider_traverse_the_landscape,_a_scene_of_serene_beauty_and_companionship_in_the_peaceful_evening_light</t>
  </si>
  <si>
    <t>Graceful_horse_riding_display,_elegance_and_power_in_every_stride</t>
  </si>
  <si>
    <t>As_the_sun_sets,_casting_long_shadows,_a</t>
  </si>
  <si>
    <t>The_boxer's_workout_is_a_dance_of_aggression_and_control,_their_punches_hitting_the_bag_in_a_symphony_of_strength_and_endurance</t>
  </si>
  <si>
    <t>Through_rolling_hills_and_open_fields,_the_rider_and_horse_explore_the_landscape,_their_shared_adventure_a_journey_of_discovery_and_mutual_enjoyment,_each_stride_an_expression_of_their_strong_connection</t>
  </si>
  <si>
    <t>Under_the_watchful_eyes_of_the_judges,_the_fencers'_bout_unfolds,_a_test_of_skill,_discipline,_and_honor,_each_point_a_hard-earned_victory_in_the_fast-paced_and_demanding_competition</t>
  </si>
  <si>
    <t>Amidst_a_field_of_wildflowers,_a_person_</t>
  </si>
  <si>
    <t>Joyful_baby_navigates_the_living_room_floor_with_determined_crawls</t>
  </si>
  <si>
    <t>The_dance_floor_becomes_a_canvas_for_the</t>
  </si>
  <si>
    <t>In_a_remote_surfing_spot,_away_from_crow</t>
  </si>
  <si>
    <t>Skillful_maneuvers_on_the_surfboard,_conquering_each_wave</t>
  </si>
  <si>
    <t>Vaulting_athlete_reaches_new_heights,_setting_a_personal_record</t>
  </si>
  <si>
    <t>On_a_sun-kissed_beach,_a_group_of_surfer</t>
  </si>
  <si>
    <t>The_athlete's_discus_throw_is_a_spectacle_of_force_and_finesse,_the_disc_arcing_beautifully_through_the_sky,_their_form_and_strength_on_full_display,_a_moment_of_triumph_in_the_competitive_event</t>
  </si>
  <si>
    <t>Marching_through_the_heart_of_the_city,_the_soldiers_in_the_military_parade_embody_the_spirit_of_their_nation,_their_disciplined_steps_a_powerful_reminder_of_their_role_as_protectors_and_servants</t>
  </si>
  <si>
    <t>With_every_lunge_and_parry,_the_fencers_display_a_mastery_of_technique,_their_duel_an_exhilarating_spectacle_of_skill_and_discipline</t>
  </si>
  <si>
    <t>In_the_solitude_of_the_gym,_the_boxer's_routine_is_a_dance_of_strength_and_endurance,_their_punches_hitting_the_bag_in_a_rhythm_that_speaks_of_their_dedication_to_the_sport_and_their_unyielding_spirit</t>
  </si>
  <si>
    <t>Sharp_thrust,_fencing_skill</t>
  </si>
  <si>
    <t>Fencers_duel,_blades_clash</t>
  </si>
  <si>
    <t>The_tension_is_high_as_the_pole_vaulter_</t>
  </si>
  <si>
    <t>Preparing_meal,_knife_chopping</t>
  </si>
  <si>
    <t>In_a_modern_gym,_a_group_of_children_tak</t>
  </si>
  <si>
    <t>On_a_rugged_mountain_trail,_a_rider_guid</t>
  </si>
  <si>
    <t>Playful_crawl,_baby_smiles</t>
  </si>
  <si>
    <t>Adventurous_kayaking,_water_splashes</t>
  </si>
  <si>
    <t>Surfer_glides_on_the_wave,_a_perfect_blend_of_skill_and_grace</t>
  </si>
  <si>
    <t>In_a_display_of_sheer_athletic_brillianc</t>
  </si>
  <si>
    <t>In_a_quiet_pre-dawn_hour,_a_discus_throw</t>
  </si>
  <si>
    <t>Discus_cutting_through_the_air,_athlete_watches_its_flight_eagerly</t>
  </si>
  <si>
    <t>In_a_well-lit_boxing_gym,_the_sound_of_gloves_hitting_the_punching_bag_echoes,_each_punch_delivered_with_precision_and_power,_a_testament_to_the_boxer's_dedication,_skill,_and_relentless_pursuit_of_excellence</t>
  </si>
  <si>
    <t>Through_the_bustling_city_streets,_a_person_and_their_loyal_dog_navigate_together,_the_dog's_wagging_tail_and_curious_sniffs_adding_joy_to_their_shared_urban_adventure</t>
  </si>
  <si>
    <t>Basketball_slam,_athletic_move</t>
  </si>
  <si>
    <t>A_joyful_baby_navigates_the_soft_carpet,_giggling_and_crawling_towards_loving_arms,_the_room_filled_with_sounds_of_encouragement_and_pride</t>
  </si>
  <si>
    <t>Solo_kayaking,_peaceful_river</t>
  </si>
  <si>
    <t>As_the_military_band_leads_the_way_with_stirring_music,_the_soldiers_follow_in_a_disciplined_march,_their_faces_resolute,_showcasing_a_proud_tradition_of_service_and_the_solemnity_of_the_occasion</t>
  </si>
  <si>
    <t>The_diver_ascends_the_platform,_poised_and_focused,_before_launching_into_a_spectacular_dive,_each_twist_and_turn_a_display_of_grace_and_control</t>
  </si>
  <si>
    <t>In_a_field_brimming_with_anticipation,_the_athlete_takes_a_deep_breath,_spins_with_precision_and_power,_and_releases_the_discus_into_the_air,_its_flight_a_perfect_arc,_a_testament_to_years_of_training_and_dedication</t>
  </si>
  <si>
    <t>In_the_golden_light_of_the_setting_sun,_the_kayaker's_journey_along_the_river_becomes_a_picturesque_scene,_the_water_reflecting_the_vibrant_colors_of_the_sky,_turning_the_experience_into_a_moment_of_pure_tranquility</t>
  </si>
  <si>
    <t>Synchronized_diving_duo,_their_movements_in_perfect_harmony</t>
  </si>
  <si>
    <t>With_the_crowd_roaring,_the_basketball_player_takes_a_powerful_leap,_dunking_the_ball_with_such_force_that_it_becomes_a_defining_moment_of_the_game</t>
  </si>
  <si>
    <t>Under_the_warm_glow_of_the_dance_hall_li</t>
  </si>
  <si>
    <t>Baby's_first_crawl,_tiny_fingers_gripping_the_soft_carpet_below</t>
  </si>
  <si>
    <t>Troops_showcase_military_precision_in_a_well-coordinated_parade_march</t>
  </si>
  <si>
    <t>Amidst_the_pomp_and_pageantry_of_the_mil</t>
  </si>
  <si>
    <t>The_player's_approach_is_calculated;_with_a_burst_of_speed_and_agility,_they_leap_and_dunk_the_ball,_drawing_cheers_from_the_audience_for_the_spectacular_play</t>
  </si>
  <si>
    <t>On_a_quiet_country_road,_a_rider_and_the</t>
  </si>
  <si>
    <t>Graceful_arc_in_dive,_diver_achieves_a_flawless_water_entry</t>
  </si>
  <si>
    <t>Focused_and_skilled,_the_chef_meticulously_prepares_the_ingredients,_the_knife's_blade_gliding_effortlessly_through_vegetables,_a_display_of_culinary_artistry</t>
  </si>
  <si>
    <t>The_surfer,_balanced_on_their_board,_rides_the_crest_of_a_towering_wave,_the_sun_glinting_off_the_water_around_them,_a_thrilling_dance_with_nature's_power,_exhilarating_and_awe-inspiring_to_onlookers</t>
  </si>
  <si>
    <t>Cook_slices,_ingredients_ready</t>
  </si>
  <si>
    <t>Knife_glides_through_ingredients,_chef_preparing_a_gourmet_dish</t>
  </si>
  <si>
    <t>The_clash_of_blades_resonates_through_the_hall,_the_fencers'_balletic_footwork_and_precise_strikes_a_showcase_of_their_physical_prowess_and_deep_understanding_of_the_art_of_fencing</t>
  </si>
  <si>
    <t>With_each_Taichi_movement,_the_practitioner's_mind_and_body_align,_the_slow,_graceful_motions_a_manifestation_of_a_deep_understanding_of_energy_flow_and_self-awareness</t>
  </si>
  <si>
    <t>As_they_walk_by_the_riverside,_the_dog's_curiosity_and_the_owner's_gentle_guidance_create_a_dance_of_playful_exploration</t>
  </si>
  <si>
    <t>In_a_breathtaking_display_of_athletic_prowess,_the_player_sprints_down_the_court,_eyes_fixed_on_the_basket,_and_with_a_powerful_leap,_dunks_the_ball,_sending_the_crowd_into_a_wild_celebration_of_the_spectacular_play</t>
  </si>
  <si>
    <t>In_a_high-stakes_basketball_game,_an_athlete_with_incredible_leaping_ability_performs_a_spectacular_dunk,_electrifying_the_crowd_and_teammates_alike</t>
  </si>
  <si>
    <t>The_vaulter's_ascent_is_a_blend_of_physics_and_athleticism,_their_body_and_pole_working_in_harmony_to_conquer_the_height,_a_moment_of_pure_elation_as_they_succeed_in_their_ambitious_attempt</t>
  </si>
  <si>
    <t>With_each_spin,_the_dancer_tells_a_story,_her_movements_a_language_of_their_own,_speaking_of_passion,_rhythm,_and_the_joy_of_dance</t>
  </si>
  <si>
    <t>Wave_surfing_at_sunset,_the_ocean's_beauty_enhancing_the_thrill</t>
  </si>
  <si>
    <t>Throwing_discuss,_athlete's_strength</t>
  </si>
  <si>
    <t>Kayaker_battles_the_river_currents,_showcasing_skill_and_determination</t>
  </si>
  <si>
    <t>Flowing_Taichi,_calm_routine</t>
  </si>
  <si>
    <t>Fighter's_quick_jab,_punch</t>
  </si>
  <si>
    <t>The_diver_ascends_to_the_platform,_their_silhouette_against_the_sky,_and_with_a_deep_breath,_executes_a_series_of_acrobatic_flips_and_spins,_plunging_into_the_water_with_minimal_splash,_a_testament_to_their_mastery</t>
  </si>
  <si>
    <t>Competitive_discus_throw,_athlete_achieves_a_personal_best_distance</t>
  </si>
  <si>
    <t>In_a_moment_of_pure_concentration,_the_diver_leaps,_transforming_their_body_into_a_spiral_of_elegant_movements,_each_second_in_the_air_a_mesmerizing_blend_of_athleticism_and_artistry,_culminating_in_a_perfect_entry</t>
  </si>
  <si>
    <t>The_military_parade,_a_spectacle_of_discipline_and_honor,_moves_through_the_capital,_the_soldiers'_synchronized_steps_and_proud_bearing_inspiring_feelings_of_patriotism_and_respect_among_the_spectators</t>
  </si>
  <si>
    <t>Boxer's_knockout_punch,_the_culmination_of_years_of_training</t>
  </si>
  <si>
    <t>The_dance_floor_becomes_her_stage,_the_salsa_dancer_spinning_with_a_poise_that_speaks_of_years_of_dedication,_her_movements_a_mesmerizing_fusion_of_traditional_steps_and_personal_flair,_leaving_the_audience_enthralled</t>
  </si>
  <si>
    <t>Rider_bonds_with_horse</t>
  </si>
  <si>
    <t>Perfect_dive,_water_entry</t>
  </si>
  <si>
    <t>At_the_pole_vault_event,_an_athlete_stan</t>
  </si>
  <si>
    <t>The_curious_infant_explores_the_world_around_them,_crawling_towards_colorful_toys_and_new_sights,_each_move_filled_with_wonder_and_excitement</t>
  </si>
  <si>
    <t>Boxer_practices_a_swift,_strong_punch,_muscles_tensing_with_force</t>
  </si>
  <si>
    <t>The_athlete's_pole_bends_under_the_tension,_catapulting_them_over_the_bar_in_a_breathtaking_moment_of_sporting_triumph</t>
  </si>
  <si>
    <t>Stroll_in_park,_dog</t>
  </si>
  <si>
    <t>Under_the_watchful_eyes_of_the_public,_the_soldiers'_parade_is_a_spectacle_of_unity,_each_step_a_symbol_of_their_dedication_and_skill</t>
  </si>
  <si>
    <t>In_the_quiet_intensity_of_the_morning,_a</t>
  </si>
  <si>
    <t>Punching_bag,_boxer_trains</t>
  </si>
  <si>
    <t>The_crowd_holds_its_breath_as_the_vaulter_approaches_the_bar,_then_erupts_in_applause_as_they_clear_it_with_inches_to_spare</t>
  </si>
  <si>
    <t>Performing_salsa,_quick_spin</t>
  </si>
  <si>
    <t>Troops_parade,_synchronized_march</t>
  </si>
  <si>
    <t>With_a_burst_of_energy,_the_diver_leaps,_executing_a_series_of_elegant_flips_and_spins,_plunging_into_the_water_with_barely_a_splash</t>
  </si>
  <si>
    <t>During_a_high_school_track_meet,_a_young</t>
  </si>
  <si>
    <t>Salsa_dancer_spins_rapidly,_her_dress_twirling_in_vibrant_colors</t>
  </si>
  <si>
    <t>Chopping_ingredients,_kitchen_busy</t>
  </si>
  <si>
    <t>Vivid_salsa,_dancer_rotates</t>
  </si>
  <si>
    <t>Token Length</t>
  </si>
  <si>
    <t>Category</t>
  </si>
  <si>
    <t>Prompt</t>
  </si>
  <si>
    <t>Actual</t>
  </si>
  <si>
    <t>Predicted</t>
  </si>
  <si>
    <t>Confusion Matrix</t>
  </si>
  <si>
    <t>Category Summary</t>
  </si>
  <si>
    <t>Predicted Backward</t>
  </si>
  <si>
    <t>Predicted Forward</t>
  </si>
  <si>
    <t>Actual Backward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</si>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</sst>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18" fillId="0" borderId="0" xfId="0" applyFont="1" applyAlignment="1">
      <alignment horizontal="center"/>
    </xf>
    <xf numFmtId="0" fontId="19" fillId="0" borderId="0" xfId="0" applyFont="1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51"/>
  <sheetViews>
    <sheetView tabSelected="1" workbookViewId="0">
      <selection activeCell="S15" sqref="S15"/>
    </sheetView>
  </sheetViews>
  <sheetFormatPr baseColWidth="10" defaultRowHeight="16" x14ac:dyDescent="0.2"/>
  <sheetData>
    <row r="1" spans="1:23" x14ac:dyDescent="0.2">
      <c r="A1" s="1" t="s">
        <v>240</v>
      </c>
      <c r="B1" s="1" t="s">
        <v>241</v>
      </c>
      <c r="C1" s="1" t="s">
        <v>242</v>
      </c>
      <c r="D1" s="1" t="s">
        <v>243</v>
      </c>
      <c r="E1" s="1" t="s">
        <v>244</v>
      </c>
    </row>
    <row r="2" spans="1:23" ht="21" x14ac:dyDescent="0.25">
      <c r="A2">
        <v>70</v>
      </c>
      <c r="B2" t="s">
        <v>0</v>
      </c>
      <c r="C2" t="s">
        <v>1</v>
      </c>
      <c r="D2">
        <v>1</v>
      </c>
      <c r="E2">
        <v>1</v>
      </c>
      <c r="I2" s="2" t="s">
        <v>245</v>
      </c>
      <c r="J2" s="2"/>
      <c r="K2" s="2"/>
      <c r="R2" s="2" t="s">
        <v>246</v>
      </c>
      <c r="S2" s="2"/>
    </row>
    <row r="3" spans="1:23" x14ac:dyDescent="0.2">
      <c r="A3">
        <v>10</v>
      </c>
      <c r="B3" t="s">
        <v>2</v>
      </c>
      <c r="C3" t="s">
        <v>3</v>
      </c>
      <c r="D3">
        <v>0</v>
      </c>
      <c r="E3">
        <v>0</v>
      </c>
      <c r="J3" t="s">
        <v>247</v>
      </c>
      <c r="K3" t="s">
        <v>248</v>
      </c>
    </row>
    <row r="4" spans="1:23" ht="19" x14ac:dyDescent="0.25">
      <c r="A4">
        <v>70</v>
      </c>
      <c r="B4" t="s">
        <v>4</v>
      </c>
      <c r="C4" t="s">
        <v>5</v>
      </c>
      <c r="D4">
        <v>1</v>
      </c>
      <c r="E4">
        <v>1</v>
      </c>
      <c r="I4" t="s">
        <v>249</v>
      </c>
      <c r="J4">
        <f>COUNTIFS(D2:D451, 0, E2:E451, 0)</f>
        <v>168</v>
      </c>
      <c r="K4">
        <f>COUNTIFS(D2:D451, 0, E2:E451, 1)</f>
        <v>57</v>
      </c>
      <c r="Q4" s="3" t="str" cm="1">
        <f t="array" ref="Q4:Q18">_xlfn.UNIQUE(B2:B451)</f>
        <v>Punching</v>
      </c>
      <c r="R4" s="1" t="s">
        <v>250</v>
      </c>
      <c r="S4" s="1" t="s">
        <v>251</v>
      </c>
      <c r="T4" s="1" t="s">
        <v>252</v>
      </c>
      <c r="U4" s="1" t="s">
        <v>253</v>
      </c>
      <c r="V4" s="1" t="s">
        <v>254</v>
      </c>
      <c r="W4" s="1" t="s">
        <v>255</v>
      </c>
    </row>
    <row r="5" spans="1:23" x14ac:dyDescent="0.2">
      <c r="A5">
        <v>10</v>
      </c>
      <c r="B5" t="s">
        <v>6</v>
      </c>
      <c r="C5" t="s">
        <v>7</v>
      </c>
      <c r="D5">
        <v>0</v>
      </c>
      <c r="E5">
        <v>0</v>
      </c>
      <c r="I5" t="s">
        <v>256</v>
      </c>
      <c r="J5">
        <f>COUNTIFS(D2:D451, 1, E2:E451, 0)</f>
        <v>58</v>
      </c>
      <c r="K5">
        <f>COUNTIFS(D2:D451, 1, E2:E451, 1)</f>
        <v>167</v>
      </c>
      <c r="Q5" t="str">
        <v>MilitaryParade</v>
      </c>
      <c r="R5">
        <f>COUNTIFS($B$2:$B$451,Q5, $D$2:$D$451, 1, $E$2:$E$451, 1)</f>
        <v>12</v>
      </c>
      <c r="S5">
        <f>COUNTIFS($B$2:$B$451,Q5, $D$2:$D$451, 0, $E$2:$E$451, 1)</f>
        <v>3</v>
      </c>
      <c r="T5">
        <f>COUNTIFS($B$2:$B$451,Q5, $D$2:$D$451, 0, $E$2:$E$451, 0)</f>
        <v>12</v>
      </c>
      <c r="U5">
        <f>COUNTIFS($B$2:$B$451,Q5, $D$2:$D$451, 1, $E$2:$E$451, 0)</f>
        <v>3</v>
      </c>
      <c r="V5" s="4">
        <f>R5/(U5+R5)</f>
        <v>0.8</v>
      </c>
      <c r="W5" s="4">
        <f>T5/(T5+S5)</f>
        <v>0.8</v>
      </c>
    </row>
    <row r="6" spans="1:23" x14ac:dyDescent="0.2">
      <c r="A6">
        <v>40</v>
      </c>
      <c r="B6" t="s">
        <v>8</v>
      </c>
      <c r="C6" t="s">
        <v>9</v>
      </c>
      <c r="D6">
        <v>1</v>
      </c>
      <c r="E6">
        <v>1</v>
      </c>
      <c r="Q6" t="str">
        <v>BabyCrawling</v>
      </c>
      <c r="R6">
        <f t="shared" ref="R6:R18" si="0">COUNTIFS($B$2:$B$451,Q6, $D$2:$D$451, 1, $E$2:$E$451, 1)</f>
        <v>10</v>
      </c>
      <c r="S6">
        <f t="shared" ref="S6:S18" si="1">COUNTIFS($B$2:$B$451,Q6, $D$2:$D$451, 0, $E$2:$E$451, 1)</f>
        <v>3</v>
      </c>
      <c r="T6">
        <f t="shared" ref="T6:T18" si="2">COUNTIFS($B$2:$B$451,Q6, $D$2:$D$451, 0, $E$2:$E$451, 0)</f>
        <v>12</v>
      </c>
      <c r="U6">
        <f t="shared" ref="U6:U18" si="3">COUNTIFS($B$2:$B$451,Q6, $D$2:$D$451, 1, $E$2:$E$451, 0)</f>
        <v>5</v>
      </c>
      <c r="V6" s="4">
        <f t="shared" ref="V6:V18" si="4">R6/(U6+R6)</f>
        <v>0.66666666666666663</v>
      </c>
      <c r="W6" s="4">
        <f t="shared" ref="W6:W18" si="5">T6/(T6+S6)</f>
        <v>0.8</v>
      </c>
    </row>
    <row r="7" spans="1:23" x14ac:dyDescent="0.2">
      <c r="A7">
        <v>70</v>
      </c>
      <c r="B7" t="s">
        <v>8</v>
      </c>
      <c r="C7" t="s">
        <v>10</v>
      </c>
      <c r="D7">
        <v>0</v>
      </c>
      <c r="E7">
        <v>0</v>
      </c>
      <c r="I7" t="s">
        <v>257</v>
      </c>
      <c r="J7">
        <f>SUM(J4:K5)</f>
        <v>450</v>
      </c>
      <c r="Q7" t="str">
        <v>CuttingInKitchen</v>
      </c>
      <c r="R7">
        <f t="shared" si="0"/>
        <v>11</v>
      </c>
      <c r="S7">
        <f t="shared" si="1"/>
        <v>2</v>
      </c>
      <c r="T7">
        <f t="shared" si="2"/>
        <v>13</v>
      </c>
      <c r="U7">
        <f t="shared" si="3"/>
        <v>4</v>
      </c>
      <c r="V7" s="4">
        <f t="shared" si="4"/>
        <v>0.73333333333333328</v>
      </c>
      <c r="W7" s="4">
        <f t="shared" si="5"/>
        <v>0.8666666666666667</v>
      </c>
    </row>
    <row r="8" spans="1:23" x14ac:dyDescent="0.2">
      <c r="A8">
        <v>70</v>
      </c>
      <c r="B8" t="s">
        <v>11</v>
      </c>
      <c r="C8" t="s">
        <v>12</v>
      </c>
      <c r="D8">
        <v>0</v>
      </c>
      <c r="E8">
        <v>0</v>
      </c>
      <c r="I8" t="s">
        <v>258</v>
      </c>
      <c r="J8" s="4">
        <f>(J4+K5)/J7</f>
        <v>0.74444444444444446</v>
      </c>
      <c r="Q8" t="str">
        <v>Surfing</v>
      </c>
      <c r="R8">
        <f t="shared" si="0"/>
        <v>15</v>
      </c>
      <c r="S8">
        <f t="shared" si="1"/>
        <v>5</v>
      </c>
      <c r="T8">
        <f t="shared" si="2"/>
        <v>10</v>
      </c>
      <c r="U8">
        <f t="shared" si="3"/>
        <v>0</v>
      </c>
      <c r="V8" s="4">
        <f t="shared" si="4"/>
        <v>1</v>
      </c>
      <c r="W8" s="4">
        <f t="shared" si="5"/>
        <v>0.66666666666666663</v>
      </c>
    </row>
    <row r="9" spans="1:23" x14ac:dyDescent="0.2">
      <c r="A9">
        <v>70</v>
      </c>
      <c r="B9" t="s">
        <v>13</v>
      </c>
      <c r="C9" t="s">
        <v>14</v>
      </c>
      <c r="D9">
        <v>0</v>
      </c>
      <c r="E9">
        <v>0</v>
      </c>
      <c r="Q9" t="str">
        <v>Kayaking</v>
      </c>
      <c r="R9">
        <f t="shared" si="0"/>
        <v>8</v>
      </c>
      <c r="S9">
        <f t="shared" si="1"/>
        <v>5</v>
      </c>
      <c r="T9">
        <f t="shared" si="2"/>
        <v>10</v>
      </c>
      <c r="U9">
        <f t="shared" si="3"/>
        <v>7</v>
      </c>
      <c r="V9" s="4">
        <f t="shared" si="4"/>
        <v>0.53333333333333333</v>
      </c>
      <c r="W9" s="4">
        <f t="shared" si="5"/>
        <v>0.66666666666666663</v>
      </c>
    </row>
    <row r="10" spans="1:23" x14ac:dyDescent="0.2">
      <c r="A10">
        <v>40</v>
      </c>
      <c r="B10" t="s">
        <v>0</v>
      </c>
      <c r="C10" t="s">
        <v>15</v>
      </c>
      <c r="D10">
        <v>1</v>
      </c>
      <c r="E10">
        <v>1</v>
      </c>
      <c r="I10" t="s">
        <v>259</v>
      </c>
      <c r="J10">
        <f>J4/(J4+J5)</f>
        <v>0.74336283185840712</v>
      </c>
      <c r="Q10" t="str">
        <v>Diving</v>
      </c>
      <c r="R10">
        <f t="shared" si="0"/>
        <v>13</v>
      </c>
      <c r="S10">
        <f t="shared" si="1"/>
        <v>4</v>
      </c>
      <c r="T10">
        <f t="shared" si="2"/>
        <v>11</v>
      </c>
      <c r="U10">
        <f t="shared" si="3"/>
        <v>2</v>
      </c>
      <c r="V10" s="4">
        <f t="shared" si="4"/>
        <v>0.8666666666666667</v>
      </c>
      <c r="W10" s="4">
        <f t="shared" si="5"/>
        <v>0.73333333333333328</v>
      </c>
    </row>
    <row r="11" spans="1:23" x14ac:dyDescent="0.2">
      <c r="A11">
        <v>40</v>
      </c>
      <c r="B11" t="s">
        <v>16</v>
      </c>
      <c r="C11" t="s">
        <v>17</v>
      </c>
      <c r="D11">
        <v>0</v>
      </c>
      <c r="E11">
        <v>0</v>
      </c>
      <c r="I11" t="s">
        <v>260</v>
      </c>
      <c r="J11">
        <f>(J4/(J4+K4))</f>
        <v>0.7466666666666667</v>
      </c>
      <c r="Q11" t="str">
        <v>PoleVault</v>
      </c>
      <c r="R11">
        <f t="shared" si="0"/>
        <v>9</v>
      </c>
      <c r="S11">
        <f t="shared" si="1"/>
        <v>3</v>
      </c>
      <c r="T11">
        <f t="shared" si="2"/>
        <v>12</v>
      </c>
      <c r="U11">
        <f t="shared" si="3"/>
        <v>6</v>
      </c>
      <c r="V11" s="4">
        <f t="shared" si="4"/>
        <v>0.6</v>
      </c>
      <c r="W11" s="4">
        <f t="shared" si="5"/>
        <v>0.8</v>
      </c>
    </row>
    <row r="12" spans="1:23" x14ac:dyDescent="0.2">
      <c r="A12">
        <v>10</v>
      </c>
      <c r="B12" t="s">
        <v>18</v>
      </c>
      <c r="C12" t="s">
        <v>19</v>
      </c>
      <c r="D12">
        <v>1</v>
      </c>
      <c r="E12">
        <v>0</v>
      </c>
      <c r="I12" t="s">
        <v>261</v>
      </c>
      <c r="J12">
        <f>2*(J10*J11/(J10+J11))</f>
        <v>0.74501108647450098</v>
      </c>
      <c r="Q12" t="str">
        <v>HorseRiding</v>
      </c>
      <c r="R12">
        <f t="shared" si="0"/>
        <v>12</v>
      </c>
      <c r="S12">
        <f t="shared" si="1"/>
        <v>4</v>
      </c>
      <c r="T12">
        <f t="shared" si="2"/>
        <v>11</v>
      </c>
      <c r="U12">
        <f t="shared" si="3"/>
        <v>3</v>
      </c>
      <c r="V12" s="4">
        <f t="shared" si="4"/>
        <v>0.8</v>
      </c>
      <c r="W12" s="4">
        <f t="shared" si="5"/>
        <v>0.73333333333333328</v>
      </c>
    </row>
    <row r="13" spans="1:23" x14ac:dyDescent="0.2">
      <c r="A13">
        <v>70</v>
      </c>
      <c r="B13" t="s">
        <v>20</v>
      </c>
      <c r="C13" t="s">
        <v>21</v>
      </c>
      <c r="D13">
        <v>0</v>
      </c>
      <c r="E13">
        <v>0</v>
      </c>
      <c r="Q13" t="str">
        <v>BasketballDunking</v>
      </c>
      <c r="R13">
        <f t="shared" si="0"/>
        <v>12</v>
      </c>
      <c r="S13">
        <f t="shared" si="1"/>
        <v>1</v>
      </c>
      <c r="T13">
        <f t="shared" si="2"/>
        <v>14</v>
      </c>
      <c r="U13">
        <f t="shared" si="3"/>
        <v>3</v>
      </c>
      <c r="V13" s="4">
        <f t="shared" si="4"/>
        <v>0.8</v>
      </c>
      <c r="W13" s="4">
        <f t="shared" si="5"/>
        <v>0.93333333333333335</v>
      </c>
    </row>
    <row r="14" spans="1:23" x14ac:dyDescent="0.2">
      <c r="A14">
        <v>10</v>
      </c>
      <c r="B14" t="s">
        <v>22</v>
      </c>
      <c r="C14" t="s">
        <v>23</v>
      </c>
      <c r="D14">
        <v>0</v>
      </c>
      <c r="E14">
        <v>0</v>
      </c>
      <c r="I14" t="s">
        <v>262</v>
      </c>
      <c r="J14">
        <f>K5/(K5+K4)</f>
        <v>0.7455357142857143</v>
      </c>
      <c r="Q14" t="str">
        <v>Fencing</v>
      </c>
      <c r="R14">
        <f t="shared" si="0"/>
        <v>9</v>
      </c>
      <c r="S14">
        <f t="shared" si="1"/>
        <v>3</v>
      </c>
      <c r="T14">
        <f t="shared" si="2"/>
        <v>12</v>
      </c>
      <c r="U14">
        <f t="shared" si="3"/>
        <v>6</v>
      </c>
      <c r="V14" s="4">
        <f t="shared" si="4"/>
        <v>0.6</v>
      </c>
      <c r="W14" s="4">
        <f t="shared" si="5"/>
        <v>0.8</v>
      </c>
    </row>
    <row r="15" spans="1:23" x14ac:dyDescent="0.2">
      <c r="A15">
        <v>20</v>
      </c>
      <c r="B15" t="s">
        <v>24</v>
      </c>
      <c r="C15" t="s">
        <v>25</v>
      </c>
      <c r="D15">
        <v>0</v>
      </c>
      <c r="E15">
        <v>0</v>
      </c>
      <c r="I15" t="s">
        <v>263</v>
      </c>
      <c r="J15">
        <f>K5/(K5+J5)</f>
        <v>0.74222222222222223</v>
      </c>
      <c r="Q15" t="str">
        <v>TaiChi</v>
      </c>
      <c r="R15">
        <f t="shared" si="0"/>
        <v>12</v>
      </c>
      <c r="S15">
        <f t="shared" si="1"/>
        <v>5</v>
      </c>
      <c r="T15">
        <f t="shared" si="2"/>
        <v>10</v>
      </c>
      <c r="U15">
        <f t="shared" si="3"/>
        <v>3</v>
      </c>
      <c r="V15" s="4">
        <f t="shared" si="4"/>
        <v>0.8</v>
      </c>
      <c r="W15" s="4">
        <f t="shared" si="5"/>
        <v>0.66666666666666663</v>
      </c>
    </row>
    <row r="16" spans="1:23" x14ac:dyDescent="0.2">
      <c r="A16">
        <v>10</v>
      </c>
      <c r="B16" t="s">
        <v>26</v>
      </c>
      <c r="C16" t="s">
        <v>27</v>
      </c>
      <c r="D16">
        <v>0</v>
      </c>
      <c r="E16">
        <v>0</v>
      </c>
      <c r="I16" t="s">
        <v>264</v>
      </c>
      <c r="J16">
        <f>2*(J14*J15/(J14+J15))</f>
        <v>0.74387527839643652</v>
      </c>
      <c r="Q16" t="str">
        <v>DogWalking</v>
      </c>
      <c r="R16">
        <f t="shared" si="0"/>
        <v>14</v>
      </c>
      <c r="S16">
        <f t="shared" si="1"/>
        <v>4</v>
      </c>
      <c r="T16">
        <f t="shared" si="2"/>
        <v>11</v>
      </c>
      <c r="U16">
        <f t="shared" si="3"/>
        <v>1</v>
      </c>
      <c r="V16" s="4">
        <f t="shared" si="4"/>
        <v>0.93333333333333335</v>
      </c>
      <c r="W16" s="4">
        <f t="shared" si="5"/>
        <v>0.73333333333333328</v>
      </c>
    </row>
    <row r="17" spans="1:23" x14ac:dyDescent="0.2">
      <c r="A17">
        <v>70</v>
      </c>
      <c r="B17" t="s">
        <v>11</v>
      </c>
      <c r="C17" t="s">
        <v>12</v>
      </c>
      <c r="D17">
        <v>1</v>
      </c>
      <c r="E17">
        <v>1</v>
      </c>
      <c r="Q17" t="str">
        <v>SalsaSpin</v>
      </c>
      <c r="R17">
        <f t="shared" si="0"/>
        <v>11</v>
      </c>
      <c r="S17">
        <f t="shared" si="1"/>
        <v>5</v>
      </c>
      <c r="T17">
        <f t="shared" si="2"/>
        <v>10</v>
      </c>
      <c r="U17">
        <f t="shared" si="3"/>
        <v>4</v>
      </c>
      <c r="V17" s="4">
        <f t="shared" si="4"/>
        <v>0.73333333333333328</v>
      </c>
      <c r="W17" s="4">
        <f t="shared" si="5"/>
        <v>0.66666666666666663</v>
      </c>
    </row>
    <row r="18" spans="1:23" x14ac:dyDescent="0.2">
      <c r="A18">
        <v>40</v>
      </c>
      <c r="B18" t="s">
        <v>28</v>
      </c>
      <c r="C18" t="s">
        <v>29</v>
      </c>
      <c r="D18">
        <v>1</v>
      </c>
      <c r="E18">
        <v>1</v>
      </c>
      <c r="Q18" t="str">
        <v>ThrowDiscuss</v>
      </c>
      <c r="R18">
        <f t="shared" si="0"/>
        <v>10</v>
      </c>
      <c r="S18">
        <f t="shared" si="1"/>
        <v>6</v>
      </c>
      <c r="T18">
        <f t="shared" si="2"/>
        <v>9</v>
      </c>
      <c r="U18">
        <f t="shared" si="3"/>
        <v>5</v>
      </c>
      <c r="V18" s="4">
        <f t="shared" si="4"/>
        <v>0.66666666666666663</v>
      </c>
      <c r="W18" s="4">
        <f t="shared" si="5"/>
        <v>0.6</v>
      </c>
    </row>
    <row r="19" spans="1:23" x14ac:dyDescent="0.2">
      <c r="A19">
        <v>20</v>
      </c>
      <c r="B19" t="s">
        <v>2</v>
      </c>
      <c r="C19" t="s">
        <v>30</v>
      </c>
      <c r="D19">
        <v>0</v>
      </c>
      <c r="E19">
        <v>0</v>
      </c>
    </row>
    <row r="20" spans="1:23" x14ac:dyDescent="0.2">
      <c r="A20">
        <v>4</v>
      </c>
      <c r="B20" t="s">
        <v>31</v>
      </c>
      <c r="C20" t="s">
        <v>32</v>
      </c>
      <c r="D20">
        <v>1</v>
      </c>
      <c r="E20">
        <v>1</v>
      </c>
    </row>
    <row r="21" spans="1:23" x14ac:dyDescent="0.2">
      <c r="A21">
        <v>40</v>
      </c>
      <c r="B21" t="s">
        <v>20</v>
      </c>
      <c r="C21" t="s">
        <v>33</v>
      </c>
      <c r="D21">
        <v>0</v>
      </c>
      <c r="E21">
        <v>0</v>
      </c>
    </row>
    <row r="22" spans="1:23" x14ac:dyDescent="0.2">
      <c r="A22">
        <v>4</v>
      </c>
      <c r="B22" t="s">
        <v>31</v>
      </c>
      <c r="C22" t="s">
        <v>32</v>
      </c>
      <c r="D22">
        <v>0</v>
      </c>
      <c r="E22">
        <v>0</v>
      </c>
    </row>
    <row r="23" spans="1:23" x14ac:dyDescent="0.2">
      <c r="A23">
        <v>70</v>
      </c>
      <c r="B23" t="s">
        <v>22</v>
      </c>
      <c r="C23" t="s">
        <v>34</v>
      </c>
      <c r="D23">
        <v>0</v>
      </c>
      <c r="E23">
        <v>0</v>
      </c>
    </row>
    <row r="24" spans="1:23" x14ac:dyDescent="0.2">
      <c r="A24">
        <v>10</v>
      </c>
      <c r="B24" t="s">
        <v>20</v>
      </c>
      <c r="C24" t="s">
        <v>35</v>
      </c>
      <c r="D24">
        <v>1</v>
      </c>
      <c r="E24">
        <v>1</v>
      </c>
    </row>
    <row r="25" spans="1:23" x14ac:dyDescent="0.2">
      <c r="A25">
        <v>10</v>
      </c>
      <c r="B25" t="s">
        <v>28</v>
      </c>
      <c r="C25" t="s">
        <v>36</v>
      </c>
      <c r="D25">
        <v>1</v>
      </c>
      <c r="E25">
        <v>1</v>
      </c>
    </row>
    <row r="26" spans="1:23" x14ac:dyDescent="0.2">
      <c r="A26">
        <v>4</v>
      </c>
      <c r="B26" t="s">
        <v>24</v>
      </c>
      <c r="C26" t="s">
        <v>37</v>
      </c>
      <c r="D26">
        <v>0</v>
      </c>
      <c r="E26">
        <v>0</v>
      </c>
    </row>
    <row r="27" spans="1:23" x14ac:dyDescent="0.2">
      <c r="A27">
        <v>70</v>
      </c>
      <c r="B27" t="s">
        <v>11</v>
      </c>
      <c r="C27" t="s">
        <v>38</v>
      </c>
      <c r="D27">
        <v>1</v>
      </c>
      <c r="E27">
        <v>0</v>
      </c>
    </row>
    <row r="28" spans="1:23" x14ac:dyDescent="0.2">
      <c r="A28">
        <v>10</v>
      </c>
      <c r="B28" t="s">
        <v>0</v>
      </c>
      <c r="C28" t="s">
        <v>39</v>
      </c>
      <c r="D28">
        <v>0</v>
      </c>
      <c r="E28">
        <v>0</v>
      </c>
    </row>
    <row r="29" spans="1:23" x14ac:dyDescent="0.2">
      <c r="A29">
        <v>10</v>
      </c>
      <c r="B29" t="s">
        <v>22</v>
      </c>
      <c r="C29" t="s">
        <v>40</v>
      </c>
      <c r="D29">
        <v>0</v>
      </c>
      <c r="E29">
        <v>0</v>
      </c>
    </row>
    <row r="30" spans="1:23" x14ac:dyDescent="0.2">
      <c r="A30">
        <v>10</v>
      </c>
      <c r="B30" t="s">
        <v>28</v>
      </c>
      <c r="C30" t="s">
        <v>41</v>
      </c>
      <c r="D30">
        <v>0</v>
      </c>
      <c r="E30">
        <v>0</v>
      </c>
    </row>
    <row r="31" spans="1:23" x14ac:dyDescent="0.2">
      <c r="A31">
        <v>4</v>
      </c>
      <c r="B31" t="s">
        <v>13</v>
      </c>
      <c r="C31" t="s">
        <v>42</v>
      </c>
      <c r="D31">
        <v>1</v>
      </c>
      <c r="E31">
        <v>0</v>
      </c>
    </row>
    <row r="32" spans="1:23" x14ac:dyDescent="0.2">
      <c r="A32">
        <v>20</v>
      </c>
      <c r="B32" t="s">
        <v>0</v>
      </c>
      <c r="C32" t="s">
        <v>43</v>
      </c>
      <c r="D32">
        <v>0</v>
      </c>
      <c r="E32">
        <v>1</v>
      </c>
    </row>
    <row r="33" spans="1:5" x14ac:dyDescent="0.2">
      <c r="A33">
        <v>20</v>
      </c>
      <c r="B33" t="s">
        <v>24</v>
      </c>
      <c r="C33" t="s">
        <v>25</v>
      </c>
      <c r="D33">
        <v>1</v>
      </c>
      <c r="E33">
        <v>1</v>
      </c>
    </row>
    <row r="34" spans="1:5" x14ac:dyDescent="0.2">
      <c r="A34">
        <v>40</v>
      </c>
      <c r="B34" t="s">
        <v>4</v>
      </c>
      <c r="C34" t="s">
        <v>44</v>
      </c>
      <c r="D34">
        <v>0</v>
      </c>
      <c r="E34">
        <v>0</v>
      </c>
    </row>
    <row r="35" spans="1:5" x14ac:dyDescent="0.2">
      <c r="A35">
        <v>20</v>
      </c>
      <c r="B35" t="s">
        <v>31</v>
      </c>
      <c r="C35" t="s">
        <v>45</v>
      </c>
      <c r="D35">
        <v>1</v>
      </c>
      <c r="E35">
        <v>1</v>
      </c>
    </row>
    <row r="36" spans="1:5" x14ac:dyDescent="0.2">
      <c r="A36">
        <v>10</v>
      </c>
      <c r="B36" t="s">
        <v>31</v>
      </c>
      <c r="C36" t="s">
        <v>46</v>
      </c>
      <c r="D36">
        <v>1</v>
      </c>
      <c r="E36">
        <v>1</v>
      </c>
    </row>
    <row r="37" spans="1:5" x14ac:dyDescent="0.2">
      <c r="A37">
        <v>70</v>
      </c>
      <c r="B37" t="s">
        <v>4</v>
      </c>
      <c r="C37" t="s">
        <v>5</v>
      </c>
      <c r="D37">
        <v>0</v>
      </c>
      <c r="E37">
        <v>0</v>
      </c>
    </row>
    <row r="38" spans="1:5" x14ac:dyDescent="0.2">
      <c r="A38">
        <v>20</v>
      </c>
      <c r="B38" t="s">
        <v>18</v>
      </c>
      <c r="C38" t="s">
        <v>47</v>
      </c>
      <c r="D38">
        <v>1</v>
      </c>
      <c r="E38">
        <v>1</v>
      </c>
    </row>
    <row r="39" spans="1:5" x14ac:dyDescent="0.2">
      <c r="A39">
        <v>10</v>
      </c>
      <c r="B39" t="s">
        <v>20</v>
      </c>
      <c r="C39" t="s">
        <v>48</v>
      </c>
      <c r="D39">
        <v>1</v>
      </c>
      <c r="E39">
        <v>0</v>
      </c>
    </row>
    <row r="40" spans="1:5" x14ac:dyDescent="0.2">
      <c r="A40">
        <v>4</v>
      </c>
      <c r="B40" t="s">
        <v>8</v>
      </c>
      <c r="C40" t="s">
        <v>49</v>
      </c>
      <c r="D40">
        <v>1</v>
      </c>
      <c r="E40">
        <v>1</v>
      </c>
    </row>
    <row r="41" spans="1:5" x14ac:dyDescent="0.2">
      <c r="A41">
        <v>20</v>
      </c>
      <c r="B41" t="s">
        <v>22</v>
      </c>
      <c r="C41" t="s">
        <v>50</v>
      </c>
      <c r="D41">
        <v>0</v>
      </c>
      <c r="E41">
        <v>0</v>
      </c>
    </row>
    <row r="42" spans="1:5" x14ac:dyDescent="0.2">
      <c r="A42">
        <v>10</v>
      </c>
      <c r="B42" t="s">
        <v>11</v>
      </c>
      <c r="C42" t="s">
        <v>51</v>
      </c>
      <c r="D42">
        <v>0</v>
      </c>
      <c r="E42">
        <v>0</v>
      </c>
    </row>
    <row r="43" spans="1:5" x14ac:dyDescent="0.2">
      <c r="A43">
        <v>40</v>
      </c>
      <c r="B43" t="s">
        <v>28</v>
      </c>
      <c r="C43" t="s">
        <v>52</v>
      </c>
      <c r="D43">
        <v>1</v>
      </c>
      <c r="E43">
        <v>0</v>
      </c>
    </row>
    <row r="44" spans="1:5" x14ac:dyDescent="0.2">
      <c r="A44">
        <v>40</v>
      </c>
      <c r="B44" t="s">
        <v>6</v>
      </c>
      <c r="C44" t="s">
        <v>53</v>
      </c>
      <c r="D44">
        <v>1</v>
      </c>
      <c r="E44">
        <v>0</v>
      </c>
    </row>
    <row r="45" spans="1:5" x14ac:dyDescent="0.2">
      <c r="A45">
        <v>4</v>
      </c>
      <c r="B45" t="s">
        <v>2</v>
      </c>
      <c r="C45" t="s">
        <v>54</v>
      </c>
      <c r="D45">
        <v>0</v>
      </c>
      <c r="E45">
        <v>0</v>
      </c>
    </row>
    <row r="46" spans="1:5" x14ac:dyDescent="0.2">
      <c r="A46">
        <v>4</v>
      </c>
      <c r="B46" t="s">
        <v>16</v>
      </c>
      <c r="C46" t="s">
        <v>55</v>
      </c>
      <c r="D46">
        <v>1</v>
      </c>
      <c r="E46">
        <v>0</v>
      </c>
    </row>
    <row r="47" spans="1:5" x14ac:dyDescent="0.2">
      <c r="A47">
        <v>4</v>
      </c>
      <c r="B47" t="s">
        <v>4</v>
      </c>
      <c r="C47" t="s">
        <v>56</v>
      </c>
      <c r="D47">
        <v>1</v>
      </c>
      <c r="E47">
        <v>1</v>
      </c>
    </row>
    <row r="48" spans="1:5" x14ac:dyDescent="0.2">
      <c r="A48">
        <v>70</v>
      </c>
      <c r="B48" t="s">
        <v>20</v>
      </c>
      <c r="C48" t="s">
        <v>57</v>
      </c>
      <c r="D48">
        <v>1</v>
      </c>
      <c r="E48">
        <v>1</v>
      </c>
    </row>
    <row r="49" spans="1:5" x14ac:dyDescent="0.2">
      <c r="A49">
        <v>4</v>
      </c>
      <c r="B49" t="s">
        <v>20</v>
      </c>
      <c r="C49" t="s">
        <v>58</v>
      </c>
      <c r="D49">
        <v>0</v>
      </c>
      <c r="E49">
        <v>0</v>
      </c>
    </row>
    <row r="50" spans="1:5" x14ac:dyDescent="0.2">
      <c r="A50">
        <v>10</v>
      </c>
      <c r="B50" t="s">
        <v>11</v>
      </c>
      <c r="C50" t="s">
        <v>59</v>
      </c>
      <c r="D50">
        <v>0</v>
      </c>
      <c r="E50">
        <v>1</v>
      </c>
    </row>
    <row r="51" spans="1:5" x14ac:dyDescent="0.2">
      <c r="A51">
        <v>20</v>
      </c>
      <c r="B51" t="s">
        <v>16</v>
      </c>
      <c r="C51" t="s">
        <v>60</v>
      </c>
      <c r="D51">
        <v>1</v>
      </c>
      <c r="E51">
        <v>1</v>
      </c>
    </row>
    <row r="52" spans="1:5" x14ac:dyDescent="0.2">
      <c r="A52">
        <v>20</v>
      </c>
      <c r="B52" t="s">
        <v>11</v>
      </c>
      <c r="C52" t="s">
        <v>61</v>
      </c>
      <c r="D52">
        <v>1</v>
      </c>
      <c r="E52">
        <v>1</v>
      </c>
    </row>
    <row r="53" spans="1:5" x14ac:dyDescent="0.2">
      <c r="A53">
        <v>40</v>
      </c>
      <c r="B53" t="s">
        <v>6</v>
      </c>
      <c r="C53" t="s">
        <v>62</v>
      </c>
      <c r="D53">
        <v>0</v>
      </c>
      <c r="E53">
        <v>0</v>
      </c>
    </row>
    <row r="54" spans="1:5" x14ac:dyDescent="0.2">
      <c r="A54">
        <v>40</v>
      </c>
      <c r="B54" t="s">
        <v>24</v>
      </c>
      <c r="C54" t="s">
        <v>63</v>
      </c>
      <c r="D54">
        <v>1</v>
      </c>
      <c r="E54">
        <v>0</v>
      </c>
    </row>
    <row r="55" spans="1:5" x14ac:dyDescent="0.2">
      <c r="A55">
        <v>4</v>
      </c>
      <c r="B55" t="s">
        <v>24</v>
      </c>
      <c r="C55" t="s">
        <v>64</v>
      </c>
      <c r="D55">
        <v>0</v>
      </c>
      <c r="E55">
        <v>0</v>
      </c>
    </row>
    <row r="56" spans="1:5" x14ac:dyDescent="0.2">
      <c r="A56">
        <v>10</v>
      </c>
      <c r="B56" t="s">
        <v>28</v>
      </c>
      <c r="C56" t="s">
        <v>36</v>
      </c>
      <c r="D56">
        <v>0</v>
      </c>
      <c r="E56">
        <v>0</v>
      </c>
    </row>
    <row r="57" spans="1:5" x14ac:dyDescent="0.2">
      <c r="A57">
        <v>40</v>
      </c>
      <c r="B57" t="s">
        <v>31</v>
      </c>
      <c r="C57" t="s">
        <v>65</v>
      </c>
      <c r="D57">
        <v>0</v>
      </c>
      <c r="E57">
        <v>1</v>
      </c>
    </row>
    <row r="58" spans="1:5" x14ac:dyDescent="0.2">
      <c r="A58">
        <v>70</v>
      </c>
      <c r="B58" t="s">
        <v>28</v>
      </c>
      <c r="C58" t="s">
        <v>66</v>
      </c>
      <c r="D58">
        <v>1</v>
      </c>
      <c r="E58">
        <v>1</v>
      </c>
    </row>
    <row r="59" spans="1:5" x14ac:dyDescent="0.2">
      <c r="A59">
        <v>4</v>
      </c>
      <c r="B59" t="s">
        <v>26</v>
      </c>
      <c r="C59" t="s">
        <v>67</v>
      </c>
      <c r="D59">
        <v>1</v>
      </c>
      <c r="E59">
        <v>1</v>
      </c>
    </row>
    <row r="60" spans="1:5" x14ac:dyDescent="0.2">
      <c r="A60">
        <v>4</v>
      </c>
      <c r="B60" t="s">
        <v>11</v>
      </c>
      <c r="C60" t="s">
        <v>68</v>
      </c>
      <c r="D60">
        <v>1</v>
      </c>
      <c r="E60">
        <v>1</v>
      </c>
    </row>
    <row r="61" spans="1:5" x14ac:dyDescent="0.2">
      <c r="A61">
        <v>20</v>
      </c>
      <c r="B61" t="s">
        <v>4</v>
      </c>
      <c r="C61" t="s">
        <v>69</v>
      </c>
      <c r="D61">
        <v>1</v>
      </c>
      <c r="E61">
        <v>1</v>
      </c>
    </row>
    <row r="62" spans="1:5" x14ac:dyDescent="0.2">
      <c r="A62">
        <v>40</v>
      </c>
      <c r="B62" t="s">
        <v>18</v>
      </c>
      <c r="C62" t="s">
        <v>70</v>
      </c>
      <c r="D62">
        <v>1</v>
      </c>
      <c r="E62">
        <v>1</v>
      </c>
    </row>
    <row r="63" spans="1:5" x14ac:dyDescent="0.2">
      <c r="A63">
        <v>4</v>
      </c>
      <c r="B63" t="s">
        <v>16</v>
      </c>
      <c r="C63" t="s">
        <v>71</v>
      </c>
      <c r="D63">
        <v>0</v>
      </c>
      <c r="E63">
        <v>0</v>
      </c>
    </row>
    <row r="64" spans="1:5" x14ac:dyDescent="0.2">
      <c r="A64">
        <v>4</v>
      </c>
      <c r="B64" t="s">
        <v>18</v>
      </c>
      <c r="C64" t="s">
        <v>72</v>
      </c>
      <c r="D64">
        <v>1</v>
      </c>
      <c r="E64">
        <v>1</v>
      </c>
    </row>
    <row r="65" spans="1:5" x14ac:dyDescent="0.2">
      <c r="A65">
        <v>70</v>
      </c>
      <c r="B65" t="s">
        <v>22</v>
      </c>
      <c r="C65" t="s">
        <v>73</v>
      </c>
      <c r="D65">
        <v>0</v>
      </c>
      <c r="E65">
        <v>0</v>
      </c>
    </row>
    <row r="66" spans="1:5" x14ac:dyDescent="0.2">
      <c r="A66">
        <v>70</v>
      </c>
      <c r="B66" t="s">
        <v>0</v>
      </c>
      <c r="C66" t="s">
        <v>1</v>
      </c>
      <c r="D66">
        <v>0</v>
      </c>
      <c r="E66">
        <v>0</v>
      </c>
    </row>
    <row r="67" spans="1:5" x14ac:dyDescent="0.2">
      <c r="A67">
        <v>70</v>
      </c>
      <c r="B67" t="s">
        <v>4</v>
      </c>
      <c r="C67" t="s">
        <v>74</v>
      </c>
      <c r="D67">
        <v>1</v>
      </c>
      <c r="E67">
        <v>0</v>
      </c>
    </row>
    <row r="68" spans="1:5" x14ac:dyDescent="0.2">
      <c r="A68">
        <v>20</v>
      </c>
      <c r="B68" t="s">
        <v>31</v>
      </c>
      <c r="C68" t="s">
        <v>75</v>
      </c>
      <c r="D68">
        <v>1</v>
      </c>
      <c r="E68">
        <v>1</v>
      </c>
    </row>
    <row r="69" spans="1:5" x14ac:dyDescent="0.2">
      <c r="A69">
        <v>4</v>
      </c>
      <c r="B69" t="s">
        <v>8</v>
      </c>
      <c r="C69" t="s">
        <v>49</v>
      </c>
      <c r="D69">
        <v>0</v>
      </c>
      <c r="E69">
        <v>0</v>
      </c>
    </row>
    <row r="70" spans="1:5" x14ac:dyDescent="0.2">
      <c r="A70">
        <v>10</v>
      </c>
      <c r="B70" t="s">
        <v>26</v>
      </c>
      <c r="C70" t="s">
        <v>76</v>
      </c>
      <c r="D70">
        <v>0</v>
      </c>
      <c r="E70">
        <v>0</v>
      </c>
    </row>
    <row r="71" spans="1:5" x14ac:dyDescent="0.2">
      <c r="A71">
        <v>70</v>
      </c>
      <c r="B71" t="s">
        <v>2</v>
      </c>
      <c r="C71" t="s">
        <v>77</v>
      </c>
      <c r="D71">
        <v>0</v>
      </c>
      <c r="E71">
        <v>0</v>
      </c>
    </row>
    <row r="72" spans="1:5" x14ac:dyDescent="0.2">
      <c r="A72">
        <v>20</v>
      </c>
      <c r="B72" t="s">
        <v>8</v>
      </c>
      <c r="C72" t="s">
        <v>78</v>
      </c>
      <c r="D72">
        <v>1</v>
      </c>
      <c r="E72">
        <v>1</v>
      </c>
    </row>
    <row r="73" spans="1:5" x14ac:dyDescent="0.2">
      <c r="A73">
        <v>20</v>
      </c>
      <c r="B73" t="s">
        <v>6</v>
      </c>
      <c r="C73" t="s">
        <v>79</v>
      </c>
      <c r="D73">
        <v>1</v>
      </c>
      <c r="E73">
        <v>0</v>
      </c>
    </row>
    <row r="74" spans="1:5" x14ac:dyDescent="0.2">
      <c r="A74">
        <v>70</v>
      </c>
      <c r="B74" t="s">
        <v>6</v>
      </c>
      <c r="C74" t="s">
        <v>80</v>
      </c>
      <c r="D74">
        <v>1</v>
      </c>
      <c r="E74">
        <v>1</v>
      </c>
    </row>
    <row r="75" spans="1:5" x14ac:dyDescent="0.2">
      <c r="A75">
        <v>4</v>
      </c>
      <c r="B75" t="s">
        <v>2</v>
      </c>
      <c r="C75" t="s">
        <v>81</v>
      </c>
      <c r="D75">
        <v>1</v>
      </c>
      <c r="E75">
        <v>0</v>
      </c>
    </row>
    <row r="76" spans="1:5" x14ac:dyDescent="0.2">
      <c r="A76">
        <v>20</v>
      </c>
      <c r="B76" t="s">
        <v>28</v>
      </c>
      <c r="C76" t="s">
        <v>82</v>
      </c>
      <c r="D76">
        <v>0</v>
      </c>
      <c r="E76">
        <v>0</v>
      </c>
    </row>
    <row r="77" spans="1:5" x14ac:dyDescent="0.2">
      <c r="A77">
        <v>70</v>
      </c>
      <c r="B77" t="s">
        <v>0</v>
      </c>
      <c r="C77" t="s">
        <v>83</v>
      </c>
      <c r="D77">
        <v>0</v>
      </c>
      <c r="E77">
        <v>0</v>
      </c>
    </row>
    <row r="78" spans="1:5" x14ac:dyDescent="0.2">
      <c r="A78">
        <v>40</v>
      </c>
      <c r="B78" t="s">
        <v>24</v>
      </c>
      <c r="C78" t="s">
        <v>84</v>
      </c>
      <c r="D78">
        <v>0</v>
      </c>
      <c r="E78">
        <v>1</v>
      </c>
    </row>
    <row r="79" spans="1:5" x14ac:dyDescent="0.2">
      <c r="A79">
        <v>70</v>
      </c>
      <c r="B79" t="s">
        <v>26</v>
      </c>
      <c r="C79" t="s">
        <v>85</v>
      </c>
      <c r="D79">
        <v>0</v>
      </c>
      <c r="E79">
        <v>0</v>
      </c>
    </row>
    <row r="80" spans="1:5" x14ac:dyDescent="0.2">
      <c r="A80">
        <v>20</v>
      </c>
      <c r="B80" t="s">
        <v>0</v>
      </c>
      <c r="C80" t="s">
        <v>86</v>
      </c>
      <c r="D80">
        <v>1</v>
      </c>
      <c r="E80">
        <v>0</v>
      </c>
    </row>
    <row r="81" spans="1:5" x14ac:dyDescent="0.2">
      <c r="A81">
        <v>40</v>
      </c>
      <c r="B81" t="s">
        <v>16</v>
      </c>
      <c r="C81" t="s">
        <v>17</v>
      </c>
      <c r="D81">
        <v>1</v>
      </c>
      <c r="E81">
        <v>1</v>
      </c>
    </row>
    <row r="82" spans="1:5" x14ac:dyDescent="0.2">
      <c r="A82">
        <v>4</v>
      </c>
      <c r="B82" t="s">
        <v>22</v>
      </c>
      <c r="C82" t="s">
        <v>87</v>
      </c>
      <c r="D82">
        <v>0</v>
      </c>
      <c r="E82">
        <v>1</v>
      </c>
    </row>
    <row r="83" spans="1:5" x14ac:dyDescent="0.2">
      <c r="A83">
        <v>20</v>
      </c>
      <c r="B83" t="s">
        <v>13</v>
      </c>
      <c r="C83" t="s">
        <v>88</v>
      </c>
      <c r="D83">
        <v>0</v>
      </c>
      <c r="E83">
        <v>0</v>
      </c>
    </row>
    <row r="84" spans="1:5" x14ac:dyDescent="0.2">
      <c r="A84">
        <v>10</v>
      </c>
      <c r="B84" t="s">
        <v>24</v>
      </c>
      <c r="C84" t="s">
        <v>89</v>
      </c>
      <c r="D84">
        <v>1</v>
      </c>
      <c r="E84">
        <v>1</v>
      </c>
    </row>
    <row r="85" spans="1:5" x14ac:dyDescent="0.2">
      <c r="A85">
        <v>70</v>
      </c>
      <c r="B85" t="s">
        <v>20</v>
      </c>
      <c r="C85" t="s">
        <v>57</v>
      </c>
      <c r="D85">
        <v>0</v>
      </c>
      <c r="E85">
        <v>0</v>
      </c>
    </row>
    <row r="86" spans="1:5" x14ac:dyDescent="0.2">
      <c r="A86">
        <v>70</v>
      </c>
      <c r="B86" t="s">
        <v>6</v>
      </c>
      <c r="C86" t="s">
        <v>90</v>
      </c>
      <c r="D86">
        <v>1</v>
      </c>
      <c r="E86">
        <v>1</v>
      </c>
    </row>
    <row r="87" spans="1:5" x14ac:dyDescent="0.2">
      <c r="A87">
        <v>70</v>
      </c>
      <c r="B87" t="s">
        <v>11</v>
      </c>
      <c r="C87" t="s">
        <v>91</v>
      </c>
      <c r="D87">
        <v>1</v>
      </c>
      <c r="E87">
        <v>1</v>
      </c>
    </row>
    <row r="88" spans="1:5" x14ac:dyDescent="0.2">
      <c r="A88">
        <v>4</v>
      </c>
      <c r="B88" t="s">
        <v>20</v>
      </c>
      <c r="C88" t="s">
        <v>92</v>
      </c>
      <c r="D88">
        <v>1</v>
      </c>
      <c r="E88">
        <v>1</v>
      </c>
    </row>
    <row r="89" spans="1:5" x14ac:dyDescent="0.2">
      <c r="A89">
        <v>40</v>
      </c>
      <c r="B89" t="s">
        <v>18</v>
      </c>
      <c r="C89" t="s">
        <v>93</v>
      </c>
      <c r="D89">
        <v>0</v>
      </c>
      <c r="E89">
        <v>0</v>
      </c>
    </row>
    <row r="90" spans="1:5" x14ac:dyDescent="0.2">
      <c r="A90">
        <v>20</v>
      </c>
      <c r="B90" t="s">
        <v>2</v>
      </c>
      <c r="C90" t="s">
        <v>94</v>
      </c>
      <c r="D90">
        <v>1</v>
      </c>
      <c r="E90">
        <v>1</v>
      </c>
    </row>
    <row r="91" spans="1:5" x14ac:dyDescent="0.2">
      <c r="A91">
        <v>20</v>
      </c>
      <c r="B91" t="s">
        <v>6</v>
      </c>
      <c r="C91" t="s">
        <v>95</v>
      </c>
      <c r="D91">
        <v>1</v>
      </c>
      <c r="E91">
        <v>1</v>
      </c>
    </row>
    <row r="92" spans="1:5" x14ac:dyDescent="0.2">
      <c r="A92">
        <v>10</v>
      </c>
      <c r="B92" t="s">
        <v>24</v>
      </c>
      <c r="C92" t="s">
        <v>96</v>
      </c>
      <c r="D92">
        <v>0</v>
      </c>
      <c r="E92">
        <v>0</v>
      </c>
    </row>
    <row r="93" spans="1:5" x14ac:dyDescent="0.2">
      <c r="A93">
        <v>10</v>
      </c>
      <c r="B93" t="s">
        <v>20</v>
      </c>
      <c r="C93" t="s">
        <v>97</v>
      </c>
      <c r="D93">
        <v>1</v>
      </c>
      <c r="E93">
        <v>1</v>
      </c>
    </row>
    <row r="94" spans="1:5" x14ac:dyDescent="0.2">
      <c r="A94">
        <v>70</v>
      </c>
      <c r="B94" t="s">
        <v>26</v>
      </c>
      <c r="C94" t="s">
        <v>98</v>
      </c>
      <c r="D94">
        <v>1</v>
      </c>
      <c r="E94">
        <v>1</v>
      </c>
    </row>
    <row r="95" spans="1:5" x14ac:dyDescent="0.2">
      <c r="A95">
        <v>20</v>
      </c>
      <c r="B95" t="s">
        <v>24</v>
      </c>
      <c r="C95" t="s">
        <v>99</v>
      </c>
      <c r="D95">
        <v>1</v>
      </c>
      <c r="E95">
        <v>1</v>
      </c>
    </row>
    <row r="96" spans="1:5" x14ac:dyDescent="0.2">
      <c r="A96">
        <v>20</v>
      </c>
      <c r="B96" t="s">
        <v>6</v>
      </c>
      <c r="C96" t="s">
        <v>79</v>
      </c>
      <c r="D96">
        <v>0</v>
      </c>
      <c r="E96">
        <v>0</v>
      </c>
    </row>
    <row r="97" spans="1:5" x14ac:dyDescent="0.2">
      <c r="A97">
        <v>40</v>
      </c>
      <c r="B97" t="s">
        <v>4</v>
      </c>
      <c r="C97" t="s">
        <v>100</v>
      </c>
      <c r="D97">
        <v>1</v>
      </c>
      <c r="E97">
        <v>1</v>
      </c>
    </row>
    <row r="98" spans="1:5" x14ac:dyDescent="0.2">
      <c r="A98">
        <v>10</v>
      </c>
      <c r="B98" t="s">
        <v>18</v>
      </c>
      <c r="C98" t="s">
        <v>101</v>
      </c>
      <c r="D98">
        <v>0</v>
      </c>
      <c r="E98">
        <v>1</v>
      </c>
    </row>
    <row r="99" spans="1:5" x14ac:dyDescent="0.2">
      <c r="A99">
        <v>4</v>
      </c>
      <c r="B99" t="s">
        <v>16</v>
      </c>
      <c r="C99" t="s">
        <v>102</v>
      </c>
      <c r="D99">
        <v>0</v>
      </c>
      <c r="E99">
        <v>0</v>
      </c>
    </row>
    <row r="100" spans="1:5" x14ac:dyDescent="0.2">
      <c r="A100">
        <v>4</v>
      </c>
      <c r="B100" t="s">
        <v>28</v>
      </c>
      <c r="C100" t="s">
        <v>103</v>
      </c>
      <c r="D100">
        <v>1</v>
      </c>
      <c r="E100">
        <v>1</v>
      </c>
    </row>
    <row r="101" spans="1:5" x14ac:dyDescent="0.2">
      <c r="A101">
        <v>40</v>
      </c>
      <c r="B101" t="s">
        <v>20</v>
      </c>
      <c r="C101" t="s">
        <v>104</v>
      </c>
      <c r="D101">
        <v>0</v>
      </c>
      <c r="E101">
        <v>0</v>
      </c>
    </row>
    <row r="102" spans="1:5" x14ac:dyDescent="0.2">
      <c r="A102">
        <v>20</v>
      </c>
      <c r="B102" t="s">
        <v>31</v>
      </c>
      <c r="C102" t="s">
        <v>105</v>
      </c>
      <c r="D102">
        <v>1</v>
      </c>
      <c r="E102">
        <v>1</v>
      </c>
    </row>
    <row r="103" spans="1:5" x14ac:dyDescent="0.2">
      <c r="A103">
        <v>10</v>
      </c>
      <c r="B103" t="s">
        <v>6</v>
      </c>
      <c r="C103" t="s">
        <v>106</v>
      </c>
      <c r="D103">
        <v>1</v>
      </c>
      <c r="E103">
        <v>0</v>
      </c>
    </row>
    <row r="104" spans="1:5" x14ac:dyDescent="0.2">
      <c r="A104">
        <v>20</v>
      </c>
      <c r="B104" t="s">
        <v>16</v>
      </c>
      <c r="C104" t="s">
        <v>60</v>
      </c>
      <c r="D104">
        <v>0</v>
      </c>
      <c r="E104">
        <v>0</v>
      </c>
    </row>
    <row r="105" spans="1:5" x14ac:dyDescent="0.2">
      <c r="A105">
        <v>40</v>
      </c>
      <c r="B105" t="s">
        <v>4</v>
      </c>
      <c r="C105" t="s">
        <v>107</v>
      </c>
      <c r="D105">
        <v>1</v>
      </c>
      <c r="E105">
        <v>0</v>
      </c>
    </row>
    <row r="106" spans="1:5" x14ac:dyDescent="0.2">
      <c r="A106">
        <v>10</v>
      </c>
      <c r="B106" t="s">
        <v>4</v>
      </c>
      <c r="C106" t="s">
        <v>108</v>
      </c>
      <c r="D106">
        <v>0</v>
      </c>
      <c r="E106">
        <v>0</v>
      </c>
    </row>
    <row r="107" spans="1:5" x14ac:dyDescent="0.2">
      <c r="A107">
        <v>10</v>
      </c>
      <c r="B107" t="s">
        <v>24</v>
      </c>
      <c r="C107" t="s">
        <v>109</v>
      </c>
      <c r="D107">
        <v>1</v>
      </c>
      <c r="E107">
        <v>1</v>
      </c>
    </row>
    <row r="108" spans="1:5" x14ac:dyDescent="0.2">
      <c r="A108">
        <v>70</v>
      </c>
      <c r="B108" t="s">
        <v>2</v>
      </c>
      <c r="C108" t="s">
        <v>110</v>
      </c>
      <c r="D108">
        <v>1</v>
      </c>
      <c r="E108">
        <v>1</v>
      </c>
    </row>
    <row r="109" spans="1:5" x14ac:dyDescent="0.2">
      <c r="A109">
        <v>4</v>
      </c>
      <c r="B109" t="s">
        <v>26</v>
      </c>
      <c r="C109" t="s">
        <v>111</v>
      </c>
      <c r="D109">
        <v>1</v>
      </c>
      <c r="E109">
        <v>1</v>
      </c>
    </row>
    <row r="110" spans="1:5" x14ac:dyDescent="0.2">
      <c r="A110">
        <v>20</v>
      </c>
      <c r="B110" t="s">
        <v>8</v>
      </c>
      <c r="C110" t="s">
        <v>112</v>
      </c>
      <c r="D110">
        <v>0</v>
      </c>
      <c r="E110">
        <v>0</v>
      </c>
    </row>
    <row r="111" spans="1:5" x14ac:dyDescent="0.2">
      <c r="A111">
        <v>10</v>
      </c>
      <c r="B111" t="s">
        <v>22</v>
      </c>
      <c r="C111" t="s">
        <v>113</v>
      </c>
      <c r="D111">
        <v>0</v>
      </c>
      <c r="E111">
        <v>1</v>
      </c>
    </row>
    <row r="112" spans="1:5" x14ac:dyDescent="0.2">
      <c r="A112">
        <v>40</v>
      </c>
      <c r="B112" t="s">
        <v>6</v>
      </c>
      <c r="C112" t="s">
        <v>114</v>
      </c>
      <c r="D112">
        <v>0</v>
      </c>
      <c r="E112">
        <v>0</v>
      </c>
    </row>
    <row r="113" spans="1:5" x14ac:dyDescent="0.2">
      <c r="A113">
        <v>4</v>
      </c>
      <c r="B113" t="s">
        <v>4</v>
      </c>
      <c r="C113" t="s">
        <v>115</v>
      </c>
      <c r="D113">
        <v>1</v>
      </c>
      <c r="E113">
        <v>1</v>
      </c>
    </row>
    <row r="114" spans="1:5" x14ac:dyDescent="0.2">
      <c r="A114">
        <v>4</v>
      </c>
      <c r="B114" t="s">
        <v>31</v>
      </c>
      <c r="C114" t="s">
        <v>116</v>
      </c>
      <c r="D114">
        <v>0</v>
      </c>
      <c r="E114">
        <v>1</v>
      </c>
    </row>
    <row r="115" spans="1:5" x14ac:dyDescent="0.2">
      <c r="A115">
        <v>20</v>
      </c>
      <c r="B115" t="s">
        <v>11</v>
      </c>
      <c r="C115" t="s">
        <v>117</v>
      </c>
      <c r="D115">
        <v>0</v>
      </c>
      <c r="E115">
        <v>0</v>
      </c>
    </row>
    <row r="116" spans="1:5" x14ac:dyDescent="0.2">
      <c r="A116">
        <v>20</v>
      </c>
      <c r="B116" t="s">
        <v>11</v>
      </c>
      <c r="C116" t="s">
        <v>118</v>
      </c>
      <c r="D116">
        <v>0</v>
      </c>
      <c r="E116">
        <v>0</v>
      </c>
    </row>
    <row r="117" spans="1:5" x14ac:dyDescent="0.2">
      <c r="A117">
        <v>20</v>
      </c>
      <c r="B117" t="s">
        <v>24</v>
      </c>
      <c r="C117" t="s">
        <v>119</v>
      </c>
      <c r="D117">
        <v>1</v>
      </c>
      <c r="E117">
        <v>1</v>
      </c>
    </row>
    <row r="118" spans="1:5" x14ac:dyDescent="0.2">
      <c r="A118">
        <v>70</v>
      </c>
      <c r="B118" t="s">
        <v>0</v>
      </c>
      <c r="C118" t="s">
        <v>120</v>
      </c>
      <c r="D118">
        <v>1</v>
      </c>
      <c r="E118">
        <v>1</v>
      </c>
    </row>
    <row r="119" spans="1:5" x14ac:dyDescent="0.2">
      <c r="A119">
        <v>40</v>
      </c>
      <c r="B119" t="s">
        <v>22</v>
      </c>
      <c r="C119" t="s">
        <v>121</v>
      </c>
      <c r="D119">
        <v>0</v>
      </c>
      <c r="E119">
        <v>0</v>
      </c>
    </row>
    <row r="120" spans="1:5" x14ac:dyDescent="0.2">
      <c r="A120">
        <v>4</v>
      </c>
      <c r="B120" t="s">
        <v>16</v>
      </c>
      <c r="C120" t="s">
        <v>71</v>
      </c>
      <c r="D120">
        <v>1</v>
      </c>
      <c r="E120">
        <v>0</v>
      </c>
    </row>
    <row r="121" spans="1:5" x14ac:dyDescent="0.2">
      <c r="A121">
        <v>10</v>
      </c>
      <c r="B121" t="s">
        <v>2</v>
      </c>
      <c r="C121" t="s">
        <v>122</v>
      </c>
      <c r="D121">
        <v>1</v>
      </c>
      <c r="E121">
        <v>1</v>
      </c>
    </row>
    <row r="122" spans="1:5" x14ac:dyDescent="0.2">
      <c r="A122">
        <v>40</v>
      </c>
      <c r="B122" t="s">
        <v>22</v>
      </c>
      <c r="C122" t="s">
        <v>121</v>
      </c>
      <c r="D122">
        <v>1</v>
      </c>
      <c r="E122">
        <v>1</v>
      </c>
    </row>
    <row r="123" spans="1:5" x14ac:dyDescent="0.2">
      <c r="A123">
        <v>10</v>
      </c>
      <c r="B123" t="s">
        <v>26</v>
      </c>
      <c r="C123" t="s">
        <v>123</v>
      </c>
      <c r="D123">
        <v>1</v>
      </c>
      <c r="E123">
        <v>1</v>
      </c>
    </row>
    <row r="124" spans="1:5" x14ac:dyDescent="0.2">
      <c r="A124">
        <v>20</v>
      </c>
      <c r="B124" t="s">
        <v>18</v>
      </c>
      <c r="C124" t="s">
        <v>124</v>
      </c>
      <c r="D124">
        <v>1</v>
      </c>
      <c r="E124">
        <v>1</v>
      </c>
    </row>
    <row r="125" spans="1:5" x14ac:dyDescent="0.2">
      <c r="A125">
        <v>4</v>
      </c>
      <c r="B125" t="s">
        <v>0</v>
      </c>
      <c r="C125" t="s">
        <v>125</v>
      </c>
      <c r="D125">
        <v>1</v>
      </c>
      <c r="E125">
        <v>1</v>
      </c>
    </row>
    <row r="126" spans="1:5" x14ac:dyDescent="0.2">
      <c r="A126">
        <v>10</v>
      </c>
      <c r="B126" t="s">
        <v>13</v>
      </c>
      <c r="C126" t="s">
        <v>126</v>
      </c>
      <c r="D126">
        <v>0</v>
      </c>
      <c r="E126">
        <v>1</v>
      </c>
    </row>
    <row r="127" spans="1:5" x14ac:dyDescent="0.2">
      <c r="A127">
        <v>40</v>
      </c>
      <c r="B127" t="s">
        <v>28</v>
      </c>
      <c r="C127" t="s">
        <v>29</v>
      </c>
      <c r="D127">
        <v>0</v>
      </c>
      <c r="E127">
        <v>0</v>
      </c>
    </row>
    <row r="128" spans="1:5" x14ac:dyDescent="0.2">
      <c r="A128">
        <v>20</v>
      </c>
      <c r="B128" t="s">
        <v>2</v>
      </c>
      <c r="C128" t="s">
        <v>94</v>
      </c>
      <c r="D128">
        <v>0</v>
      </c>
      <c r="E128">
        <v>0</v>
      </c>
    </row>
    <row r="129" spans="1:5" x14ac:dyDescent="0.2">
      <c r="A129">
        <v>70</v>
      </c>
      <c r="B129" t="s">
        <v>24</v>
      </c>
      <c r="C129" t="s">
        <v>127</v>
      </c>
      <c r="D129">
        <v>0</v>
      </c>
      <c r="E129">
        <v>0</v>
      </c>
    </row>
    <row r="130" spans="1:5" x14ac:dyDescent="0.2">
      <c r="A130">
        <v>4</v>
      </c>
      <c r="B130" t="s">
        <v>18</v>
      </c>
      <c r="C130" t="s">
        <v>128</v>
      </c>
      <c r="D130">
        <v>1</v>
      </c>
      <c r="E130">
        <v>1</v>
      </c>
    </row>
    <row r="131" spans="1:5" x14ac:dyDescent="0.2">
      <c r="A131">
        <v>40</v>
      </c>
      <c r="B131" t="s">
        <v>16</v>
      </c>
      <c r="C131" t="s">
        <v>129</v>
      </c>
      <c r="D131">
        <v>1</v>
      </c>
      <c r="E131">
        <v>0</v>
      </c>
    </row>
    <row r="132" spans="1:5" x14ac:dyDescent="0.2">
      <c r="A132">
        <v>4</v>
      </c>
      <c r="B132" t="s">
        <v>13</v>
      </c>
      <c r="C132" t="s">
        <v>130</v>
      </c>
      <c r="D132">
        <v>0</v>
      </c>
      <c r="E132">
        <v>1</v>
      </c>
    </row>
    <row r="133" spans="1:5" x14ac:dyDescent="0.2">
      <c r="A133">
        <v>20</v>
      </c>
      <c r="B133" t="s">
        <v>26</v>
      </c>
      <c r="C133" t="s">
        <v>131</v>
      </c>
      <c r="D133">
        <v>1</v>
      </c>
      <c r="E133">
        <v>1</v>
      </c>
    </row>
    <row r="134" spans="1:5" x14ac:dyDescent="0.2">
      <c r="A134">
        <v>40</v>
      </c>
      <c r="B134" t="s">
        <v>11</v>
      </c>
      <c r="C134" t="s">
        <v>132</v>
      </c>
      <c r="D134">
        <v>1</v>
      </c>
      <c r="E134">
        <v>1</v>
      </c>
    </row>
    <row r="135" spans="1:5" x14ac:dyDescent="0.2">
      <c r="A135">
        <v>4</v>
      </c>
      <c r="B135" t="s">
        <v>8</v>
      </c>
      <c r="C135" t="s">
        <v>133</v>
      </c>
      <c r="D135">
        <v>1</v>
      </c>
      <c r="E135">
        <v>1</v>
      </c>
    </row>
    <row r="136" spans="1:5" x14ac:dyDescent="0.2">
      <c r="A136">
        <v>10</v>
      </c>
      <c r="B136" t="s">
        <v>16</v>
      </c>
      <c r="C136" t="s">
        <v>134</v>
      </c>
      <c r="D136">
        <v>1</v>
      </c>
      <c r="E136">
        <v>1</v>
      </c>
    </row>
    <row r="137" spans="1:5" x14ac:dyDescent="0.2">
      <c r="A137">
        <v>4</v>
      </c>
      <c r="B137" t="s">
        <v>0</v>
      </c>
      <c r="C137" t="s">
        <v>125</v>
      </c>
      <c r="D137">
        <v>0</v>
      </c>
      <c r="E137">
        <v>1</v>
      </c>
    </row>
    <row r="138" spans="1:5" x14ac:dyDescent="0.2">
      <c r="A138">
        <v>40</v>
      </c>
      <c r="B138" t="s">
        <v>11</v>
      </c>
      <c r="C138" t="s">
        <v>132</v>
      </c>
      <c r="D138">
        <v>0</v>
      </c>
      <c r="E138">
        <v>0</v>
      </c>
    </row>
    <row r="139" spans="1:5" x14ac:dyDescent="0.2">
      <c r="A139">
        <v>70</v>
      </c>
      <c r="B139" t="s">
        <v>13</v>
      </c>
      <c r="C139" t="s">
        <v>135</v>
      </c>
      <c r="D139">
        <v>1</v>
      </c>
      <c r="E139">
        <v>1</v>
      </c>
    </row>
    <row r="140" spans="1:5" x14ac:dyDescent="0.2">
      <c r="A140">
        <v>40</v>
      </c>
      <c r="B140" t="s">
        <v>8</v>
      </c>
      <c r="C140" t="s">
        <v>136</v>
      </c>
      <c r="D140">
        <v>0</v>
      </c>
      <c r="E140">
        <v>0</v>
      </c>
    </row>
    <row r="141" spans="1:5" x14ac:dyDescent="0.2">
      <c r="A141">
        <v>70</v>
      </c>
      <c r="B141" t="s">
        <v>6</v>
      </c>
      <c r="C141" t="s">
        <v>137</v>
      </c>
      <c r="D141">
        <v>0</v>
      </c>
      <c r="E141">
        <v>0</v>
      </c>
    </row>
    <row r="142" spans="1:5" x14ac:dyDescent="0.2">
      <c r="A142">
        <v>20</v>
      </c>
      <c r="B142" t="s">
        <v>8</v>
      </c>
      <c r="C142" t="s">
        <v>138</v>
      </c>
      <c r="D142">
        <v>0</v>
      </c>
      <c r="E142">
        <v>0</v>
      </c>
    </row>
    <row r="143" spans="1:5" x14ac:dyDescent="0.2">
      <c r="A143">
        <v>20</v>
      </c>
      <c r="B143" t="s">
        <v>26</v>
      </c>
      <c r="C143" t="s">
        <v>139</v>
      </c>
      <c r="D143">
        <v>0</v>
      </c>
      <c r="E143">
        <v>0</v>
      </c>
    </row>
    <row r="144" spans="1:5" x14ac:dyDescent="0.2">
      <c r="A144">
        <v>10</v>
      </c>
      <c r="B144" t="s">
        <v>20</v>
      </c>
      <c r="C144" t="s">
        <v>35</v>
      </c>
      <c r="D144">
        <v>0</v>
      </c>
      <c r="E144">
        <v>0</v>
      </c>
    </row>
    <row r="145" spans="1:5" x14ac:dyDescent="0.2">
      <c r="A145">
        <v>70</v>
      </c>
      <c r="B145" t="s">
        <v>13</v>
      </c>
      <c r="C145" t="s">
        <v>140</v>
      </c>
      <c r="D145">
        <v>0</v>
      </c>
      <c r="E145">
        <v>0</v>
      </c>
    </row>
    <row r="146" spans="1:5" x14ac:dyDescent="0.2">
      <c r="A146">
        <v>70</v>
      </c>
      <c r="B146" t="s">
        <v>4</v>
      </c>
      <c r="C146" t="s">
        <v>141</v>
      </c>
      <c r="D146">
        <v>0</v>
      </c>
      <c r="E146">
        <v>0</v>
      </c>
    </row>
    <row r="147" spans="1:5" x14ac:dyDescent="0.2">
      <c r="A147">
        <v>10</v>
      </c>
      <c r="B147" t="s">
        <v>16</v>
      </c>
      <c r="C147" t="s">
        <v>142</v>
      </c>
      <c r="D147">
        <v>1</v>
      </c>
      <c r="E147">
        <v>0</v>
      </c>
    </row>
    <row r="148" spans="1:5" x14ac:dyDescent="0.2">
      <c r="A148">
        <v>10</v>
      </c>
      <c r="B148" t="s">
        <v>11</v>
      </c>
      <c r="C148" t="s">
        <v>51</v>
      </c>
      <c r="D148">
        <v>1</v>
      </c>
      <c r="E148">
        <v>1</v>
      </c>
    </row>
    <row r="149" spans="1:5" x14ac:dyDescent="0.2">
      <c r="A149">
        <v>20</v>
      </c>
      <c r="B149" t="s">
        <v>24</v>
      </c>
      <c r="C149" t="s">
        <v>119</v>
      </c>
      <c r="D149">
        <v>0</v>
      </c>
      <c r="E149">
        <v>0</v>
      </c>
    </row>
    <row r="150" spans="1:5" x14ac:dyDescent="0.2">
      <c r="A150">
        <v>70</v>
      </c>
      <c r="B150" t="s">
        <v>16</v>
      </c>
      <c r="C150" t="s">
        <v>143</v>
      </c>
      <c r="D150">
        <v>1</v>
      </c>
      <c r="E150">
        <v>1</v>
      </c>
    </row>
    <row r="151" spans="1:5" x14ac:dyDescent="0.2">
      <c r="A151">
        <v>40</v>
      </c>
      <c r="B151" t="s">
        <v>26</v>
      </c>
      <c r="C151" t="s">
        <v>144</v>
      </c>
      <c r="D151">
        <v>1</v>
      </c>
      <c r="E151">
        <v>0</v>
      </c>
    </row>
    <row r="152" spans="1:5" x14ac:dyDescent="0.2">
      <c r="A152">
        <v>4</v>
      </c>
      <c r="B152" t="s">
        <v>13</v>
      </c>
      <c r="C152" t="s">
        <v>42</v>
      </c>
      <c r="D152">
        <v>0</v>
      </c>
      <c r="E152">
        <v>1</v>
      </c>
    </row>
    <row r="153" spans="1:5" x14ac:dyDescent="0.2">
      <c r="A153">
        <v>20</v>
      </c>
      <c r="B153" t="s">
        <v>28</v>
      </c>
      <c r="C153" t="s">
        <v>145</v>
      </c>
      <c r="D153">
        <v>1</v>
      </c>
      <c r="E153">
        <v>1</v>
      </c>
    </row>
    <row r="154" spans="1:5" x14ac:dyDescent="0.2">
      <c r="A154">
        <v>70</v>
      </c>
      <c r="B154" t="s">
        <v>24</v>
      </c>
      <c r="C154" t="s">
        <v>146</v>
      </c>
      <c r="D154">
        <v>1</v>
      </c>
      <c r="E154">
        <v>1</v>
      </c>
    </row>
    <row r="155" spans="1:5" x14ac:dyDescent="0.2">
      <c r="A155">
        <v>70</v>
      </c>
      <c r="B155" t="s">
        <v>18</v>
      </c>
      <c r="C155" t="s">
        <v>147</v>
      </c>
      <c r="D155">
        <v>1</v>
      </c>
      <c r="E155">
        <v>0</v>
      </c>
    </row>
    <row r="156" spans="1:5" x14ac:dyDescent="0.2">
      <c r="A156">
        <v>40</v>
      </c>
      <c r="B156" t="s">
        <v>11</v>
      </c>
      <c r="C156" t="s">
        <v>148</v>
      </c>
      <c r="D156">
        <v>1</v>
      </c>
      <c r="E156">
        <v>0</v>
      </c>
    </row>
    <row r="157" spans="1:5" x14ac:dyDescent="0.2">
      <c r="A157">
        <v>40</v>
      </c>
      <c r="B157" t="s">
        <v>26</v>
      </c>
      <c r="C157" t="s">
        <v>149</v>
      </c>
      <c r="D157">
        <v>1</v>
      </c>
      <c r="E157">
        <v>1</v>
      </c>
    </row>
    <row r="158" spans="1:5" x14ac:dyDescent="0.2">
      <c r="A158">
        <v>10</v>
      </c>
      <c r="B158" t="s">
        <v>18</v>
      </c>
      <c r="C158" t="s">
        <v>101</v>
      </c>
      <c r="D158">
        <v>1</v>
      </c>
      <c r="E158">
        <v>0</v>
      </c>
    </row>
    <row r="159" spans="1:5" x14ac:dyDescent="0.2">
      <c r="A159">
        <v>20</v>
      </c>
      <c r="B159" t="s">
        <v>0</v>
      </c>
      <c r="C159" t="s">
        <v>43</v>
      </c>
      <c r="D159">
        <v>1</v>
      </c>
      <c r="E159">
        <v>1</v>
      </c>
    </row>
    <row r="160" spans="1:5" x14ac:dyDescent="0.2">
      <c r="A160">
        <v>40</v>
      </c>
      <c r="B160" t="s">
        <v>13</v>
      </c>
      <c r="C160" t="s">
        <v>150</v>
      </c>
      <c r="D160">
        <v>0</v>
      </c>
      <c r="E160">
        <v>0</v>
      </c>
    </row>
    <row r="161" spans="1:5" x14ac:dyDescent="0.2">
      <c r="A161">
        <v>20</v>
      </c>
      <c r="B161" t="s">
        <v>22</v>
      </c>
      <c r="C161" t="s">
        <v>151</v>
      </c>
      <c r="D161">
        <v>1</v>
      </c>
      <c r="E161">
        <v>0</v>
      </c>
    </row>
    <row r="162" spans="1:5" x14ac:dyDescent="0.2">
      <c r="A162">
        <v>4</v>
      </c>
      <c r="B162" t="s">
        <v>16</v>
      </c>
      <c r="C162" t="s">
        <v>102</v>
      </c>
      <c r="D162">
        <v>1</v>
      </c>
      <c r="E162">
        <v>1</v>
      </c>
    </row>
    <row r="163" spans="1:5" x14ac:dyDescent="0.2">
      <c r="A163">
        <v>4</v>
      </c>
      <c r="B163" t="s">
        <v>18</v>
      </c>
      <c r="C163" t="s">
        <v>72</v>
      </c>
      <c r="D163">
        <v>0</v>
      </c>
      <c r="E163">
        <v>0</v>
      </c>
    </row>
    <row r="164" spans="1:5" x14ac:dyDescent="0.2">
      <c r="A164">
        <v>4</v>
      </c>
      <c r="B164" t="s">
        <v>8</v>
      </c>
      <c r="C164" t="s">
        <v>152</v>
      </c>
      <c r="D164">
        <v>1</v>
      </c>
      <c r="E164">
        <v>1</v>
      </c>
    </row>
    <row r="165" spans="1:5" x14ac:dyDescent="0.2">
      <c r="A165">
        <v>20</v>
      </c>
      <c r="B165" t="s">
        <v>18</v>
      </c>
      <c r="C165" t="s">
        <v>153</v>
      </c>
      <c r="D165">
        <v>0</v>
      </c>
      <c r="E165">
        <v>0</v>
      </c>
    </row>
    <row r="166" spans="1:5" x14ac:dyDescent="0.2">
      <c r="A166">
        <v>10</v>
      </c>
      <c r="B166" t="s">
        <v>18</v>
      </c>
      <c r="C166" t="s">
        <v>154</v>
      </c>
      <c r="D166">
        <v>1</v>
      </c>
      <c r="E166">
        <v>1</v>
      </c>
    </row>
    <row r="167" spans="1:5" x14ac:dyDescent="0.2">
      <c r="A167">
        <v>70</v>
      </c>
      <c r="B167" t="s">
        <v>24</v>
      </c>
      <c r="C167" t="s">
        <v>146</v>
      </c>
      <c r="D167">
        <v>0</v>
      </c>
      <c r="E167">
        <v>1</v>
      </c>
    </row>
    <row r="168" spans="1:5" x14ac:dyDescent="0.2">
      <c r="A168">
        <v>70</v>
      </c>
      <c r="B168" t="s">
        <v>24</v>
      </c>
      <c r="C168" t="s">
        <v>155</v>
      </c>
      <c r="D168">
        <v>0</v>
      </c>
      <c r="E168">
        <v>1</v>
      </c>
    </row>
    <row r="169" spans="1:5" x14ac:dyDescent="0.2">
      <c r="A169">
        <v>10</v>
      </c>
      <c r="B169" t="s">
        <v>31</v>
      </c>
      <c r="C169" t="s">
        <v>46</v>
      </c>
      <c r="D169">
        <v>0</v>
      </c>
      <c r="E169">
        <v>0</v>
      </c>
    </row>
    <row r="170" spans="1:5" x14ac:dyDescent="0.2">
      <c r="A170">
        <v>20</v>
      </c>
      <c r="B170" t="s">
        <v>0</v>
      </c>
      <c r="C170" t="s">
        <v>156</v>
      </c>
      <c r="D170">
        <v>0</v>
      </c>
      <c r="E170">
        <v>1</v>
      </c>
    </row>
    <row r="171" spans="1:5" x14ac:dyDescent="0.2">
      <c r="A171">
        <v>40</v>
      </c>
      <c r="B171" t="s">
        <v>18</v>
      </c>
      <c r="C171" t="s">
        <v>157</v>
      </c>
      <c r="D171">
        <v>1</v>
      </c>
      <c r="E171">
        <v>1</v>
      </c>
    </row>
    <row r="172" spans="1:5" x14ac:dyDescent="0.2">
      <c r="A172">
        <v>40</v>
      </c>
      <c r="B172" t="s">
        <v>22</v>
      </c>
      <c r="C172" t="s">
        <v>158</v>
      </c>
      <c r="D172">
        <v>1</v>
      </c>
      <c r="E172">
        <v>0</v>
      </c>
    </row>
    <row r="173" spans="1:5" x14ac:dyDescent="0.2">
      <c r="A173">
        <v>70</v>
      </c>
      <c r="B173" t="s">
        <v>26</v>
      </c>
      <c r="C173" t="s">
        <v>159</v>
      </c>
      <c r="D173">
        <v>0</v>
      </c>
      <c r="E173">
        <v>0</v>
      </c>
    </row>
    <row r="174" spans="1:5" x14ac:dyDescent="0.2">
      <c r="A174">
        <v>10</v>
      </c>
      <c r="B174" t="s">
        <v>4</v>
      </c>
      <c r="C174" t="s">
        <v>160</v>
      </c>
      <c r="D174">
        <v>1</v>
      </c>
      <c r="E174">
        <v>1</v>
      </c>
    </row>
    <row r="175" spans="1:5" x14ac:dyDescent="0.2">
      <c r="A175">
        <v>20</v>
      </c>
      <c r="B175" t="s">
        <v>11</v>
      </c>
      <c r="C175" t="s">
        <v>118</v>
      </c>
      <c r="D175">
        <v>1</v>
      </c>
      <c r="E175">
        <v>0</v>
      </c>
    </row>
    <row r="176" spans="1:5" x14ac:dyDescent="0.2">
      <c r="A176">
        <v>4</v>
      </c>
      <c r="B176" t="s">
        <v>8</v>
      </c>
      <c r="C176" t="s">
        <v>152</v>
      </c>
      <c r="D176">
        <v>0</v>
      </c>
      <c r="E176">
        <v>1</v>
      </c>
    </row>
    <row r="177" spans="1:5" x14ac:dyDescent="0.2">
      <c r="A177">
        <v>70</v>
      </c>
      <c r="B177" t="s">
        <v>28</v>
      </c>
      <c r="C177" t="s">
        <v>161</v>
      </c>
      <c r="D177">
        <v>1</v>
      </c>
      <c r="E177">
        <v>0</v>
      </c>
    </row>
    <row r="178" spans="1:5" x14ac:dyDescent="0.2">
      <c r="A178">
        <v>70</v>
      </c>
      <c r="B178" t="s">
        <v>8</v>
      </c>
      <c r="C178" t="s">
        <v>162</v>
      </c>
      <c r="D178">
        <v>1</v>
      </c>
      <c r="E178">
        <v>1</v>
      </c>
    </row>
    <row r="179" spans="1:5" x14ac:dyDescent="0.2">
      <c r="A179">
        <v>10</v>
      </c>
      <c r="B179" t="s">
        <v>8</v>
      </c>
      <c r="C179" t="s">
        <v>163</v>
      </c>
      <c r="D179">
        <v>1</v>
      </c>
      <c r="E179">
        <v>1</v>
      </c>
    </row>
    <row r="180" spans="1:5" x14ac:dyDescent="0.2">
      <c r="A180">
        <v>10</v>
      </c>
      <c r="B180" t="s">
        <v>26</v>
      </c>
      <c r="C180" t="s">
        <v>27</v>
      </c>
      <c r="D180">
        <v>1</v>
      </c>
      <c r="E180">
        <v>1</v>
      </c>
    </row>
    <row r="181" spans="1:5" x14ac:dyDescent="0.2">
      <c r="A181">
        <v>10</v>
      </c>
      <c r="B181" t="s">
        <v>16</v>
      </c>
      <c r="C181" t="s">
        <v>164</v>
      </c>
      <c r="D181">
        <v>1</v>
      </c>
      <c r="E181">
        <v>1</v>
      </c>
    </row>
    <row r="182" spans="1:5" x14ac:dyDescent="0.2">
      <c r="A182">
        <v>70</v>
      </c>
      <c r="B182" t="s">
        <v>8</v>
      </c>
      <c r="C182" t="s">
        <v>165</v>
      </c>
      <c r="D182">
        <v>1</v>
      </c>
      <c r="E182">
        <v>1</v>
      </c>
    </row>
    <row r="183" spans="1:5" x14ac:dyDescent="0.2">
      <c r="A183">
        <v>40</v>
      </c>
      <c r="B183" t="s">
        <v>31</v>
      </c>
      <c r="C183" t="s">
        <v>166</v>
      </c>
      <c r="D183">
        <v>0</v>
      </c>
      <c r="E183">
        <v>1</v>
      </c>
    </row>
    <row r="184" spans="1:5" x14ac:dyDescent="0.2">
      <c r="A184">
        <v>40</v>
      </c>
      <c r="B184" t="s">
        <v>2</v>
      </c>
      <c r="C184" t="s">
        <v>167</v>
      </c>
      <c r="D184">
        <v>0</v>
      </c>
      <c r="E184">
        <v>1</v>
      </c>
    </row>
    <row r="185" spans="1:5" x14ac:dyDescent="0.2">
      <c r="A185">
        <v>20</v>
      </c>
      <c r="B185" t="s">
        <v>22</v>
      </c>
      <c r="C185" t="s">
        <v>168</v>
      </c>
      <c r="D185">
        <v>0</v>
      </c>
      <c r="E185">
        <v>0</v>
      </c>
    </row>
    <row r="186" spans="1:5" x14ac:dyDescent="0.2">
      <c r="A186">
        <v>70</v>
      </c>
      <c r="B186" t="s">
        <v>8</v>
      </c>
      <c r="C186" t="s">
        <v>162</v>
      </c>
      <c r="D186">
        <v>0</v>
      </c>
      <c r="E186">
        <v>0</v>
      </c>
    </row>
    <row r="187" spans="1:5" x14ac:dyDescent="0.2">
      <c r="A187">
        <v>40</v>
      </c>
      <c r="B187" t="s">
        <v>0</v>
      </c>
      <c r="C187" t="s">
        <v>169</v>
      </c>
      <c r="D187">
        <v>1</v>
      </c>
      <c r="E187">
        <v>0</v>
      </c>
    </row>
    <row r="188" spans="1:5" x14ac:dyDescent="0.2">
      <c r="A188">
        <v>40</v>
      </c>
      <c r="B188" t="s">
        <v>16</v>
      </c>
      <c r="C188" t="s">
        <v>129</v>
      </c>
      <c r="D188">
        <v>0</v>
      </c>
      <c r="E188">
        <v>0</v>
      </c>
    </row>
    <row r="189" spans="1:5" x14ac:dyDescent="0.2">
      <c r="A189">
        <v>4</v>
      </c>
      <c r="B189" t="s">
        <v>22</v>
      </c>
      <c r="C189" t="s">
        <v>170</v>
      </c>
      <c r="D189">
        <v>1</v>
      </c>
      <c r="E189">
        <v>1</v>
      </c>
    </row>
    <row r="190" spans="1:5" x14ac:dyDescent="0.2">
      <c r="A190">
        <v>70</v>
      </c>
      <c r="B190" t="s">
        <v>6</v>
      </c>
      <c r="C190" t="s">
        <v>137</v>
      </c>
      <c r="D190">
        <v>1</v>
      </c>
      <c r="E190">
        <v>1</v>
      </c>
    </row>
    <row r="191" spans="1:5" x14ac:dyDescent="0.2">
      <c r="A191">
        <v>20</v>
      </c>
      <c r="B191" t="s">
        <v>28</v>
      </c>
      <c r="C191" t="s">
        <v>82</v>
      </c>
      <c r="D191">
        <v>1</v>
      </c>
      <c r="E191">
        <v>1</v>
      </c>
    </row>
    <row r="192" spans="1:5" x14ac:dyDescent="0.2">
      <c r="A192">
        <v>10</v>
      </c>
      <c r="B192" t="s">
        <v>0</v>
      </c>
      <c r="C192" t="s">
        <v>39</v>
      </c>
      <c r="D192">
        <v>1</v>
      </c>
      <c r="E192">
        <v>1</v>
      </c>
    </row>
    <row r="193" spans="1:5" x14ac:dyDescent="0.2">
      <c r="A193">
        <v>4</v>
      </c>
      <c r="B193" t="s">
        <v>22</v>
      </c>
      <c r="C193" t="s">
        <v>171</v>
      </c>
      <c r="D193">
        <v>0</v>
      </c>
      <c r="E193">
        <v>0</v>
      </c>
    </row>
    <row r="194" spans="1:5" x14ac:dyDescent="0.2">
      <c r="A194">
        <v>70</v>
      </c>
      <c r="B194" t="s">
        <v>16</v>
      </c>
      <c r="C194" t="s">
        <v>172</v>
      </c>
      <c r="D194">
        <v>0</v>
      </c>
      <c r="E194">
        <v>0</v>
      </c>
    </row>
    <row r="195" spans="1:5" x14ac:dyDescent="0.2">
      <c r="A195">
        <v>70</v>
      </c>
      <c r="B195" t="s">
        <v>6</v>
      </c>
      <c r="C195" t="s">
        <v>90</v>
      </c>
      <c r="D195">
        <v>0</v>
      </c>
      <c r="E195">
        <v>0</v>
      </c>
    </row>
    <row r="196" spans="1:5" x14ac:dyDescent="0.2">
      <c r="A196">
        <v>70</v>
      </c>
      <c r="B196" t="s">
        <v>16</v>
      </c>
      <c r="C196" t="s">
        <v>172</v>
      </c>
      <c r="D196">
        <v>1</v>
      </c>
      <c r="E196">
        <v>1</v>
      </c>
    </row>
    <row r="197" spans="1:5" x14ac:dyDescent="0.2">
      <c r="A197">
        <v>4</v>
      </c>
      <c r="B197" t="s">
        <v>6</v>
      </c>
      <c r="C197" t="s">
        <v>173</v>
      </c>
      <c r="D197">
        <v>0</v>
      </c>
      <c r="E197">
        <v>0</v>
      </c>
    </row>
    <row r="198" spans="1:5" x14ac:dyDescent="0.2">
      <c r="A198">
        <v>70</v>
      </c>
      <c r="B198" t="s">
        <v>22</v>
      </c>
      <c r="C198" t="s">
        <v>174</v>
      </c>
      <c r="D198">
        <v>1</v>
      </c>
      <c r="E198">
        <v>0</v>
      </c>
    </row>
    <row r="199" spans="1:5" x14ac:dyDescent="0.2">
      <c r="A199">
        <v>70</v>
      </c>
      <c r="B199" t="s">
        <v>18</v>
      </c>
      <c r="C199" t="s">
        <v>175</v>
      </c>
      <c r="D199">
        <v>1</v>
      </c>
      <c r="E199">
        <v>1</v>
      </c>
    </row>
    <row r="200" spans="1:5" x14ac:dyDescent="0.2">
      <c r="A200">
        <v>4</v>
      </c>
      <c r="B200" t="s">
        <v>22</v>
      </c>
      <c r="C200" t="s">
        <v>170</v>
      </c>
      <c r="D200">
        <v>0</v>
      </c>
      <c r="E200">
        <v>0</v>
      </c>
    </row>
    <row r="201" spans="1:5" x14ac:dyDescent="0.2">
      <c r="A201">
        <v>4</v>
      </c>
      <c r="B201" t="s">
        <v>4</v>
      </c>
      <c r="C201" t="s">
        <v>176</v>
      </c>
      <c r="D201">
        <v>1</v>
      </c>
      <c r="E201">
        <v>1</v>
      </c>
    </row>
    <row r="202" spans="1:5" x14ac:dyDescent="0.2">
      <c r="A202">
        <v>10</v>
      </c>
      <c r="B202" t="s">
        <v>8</v>
      </c>
      <c r="C202" t="s">
        <v>163</v>
      </c>
      <c r="D202">
        <v>0</v>
      </c>
      <c r="E202">
        <v>0</v>
      </c>
    </row>
    <row r="203" spans="1:5" x14ac:dyDescent="0.2">
      <c r="A203">
        <v>10</v>
      </c>
      <c r="B203" t="s">
        <v>4</v>
      </c>
      <c r="C203" t="s">
        <v>108</v>
      </c>
      <c r="D203">
        <v>1</v>
      </c>
      <c r="E203">
        <v>0</v>
      </c>
    </row>
    <row r="204" spans="1:5" x14ac:dyDescent="0.2">
      <c r="A204">
        <v>4</v>
      </c>
      <c r="B204" t="s">
        <v>24</v>
      </c>
      <c r="C204" t="s">
        <v>64</v>
      </c>
      <c r="D204">
        <v>1</v>
      </c>
      <c r="E204">
        <v>1</v>
      </c>
    </row>
    <row r="205" spans="1:5" x14ac:dyDescent="0.2">
      <c r="A205">
        <v>4</v>
      </c>
      <c r="B205" t="s">
        <v>11</v>
      </c>
      <c r="C205" t="s">
        <v>177</v>
      </c>
      <c r="D205">
        <v>0</v>
      </c>
      <c r="E205">
        <v>1</v>
      </c>
    </row>
    <row r="206" spans="1:5" x14ac:dyDescent="0.2">
      <c r="A206">
        <v>20</v>
      </c>
      <c r="B206" t="s">
        <v>2</v>
      </c>
      <c r="C206" t="s">
        <v>30</v>
      </c>
      <c r="D206">
        <v>1</v>
      </c>
      <c r="E206">
        <v>1</v>
      </c>
    </row>
    <row r="207" spans="1:5" x14ac:dyDescent="0.2">
      <c r="A207">
        <v>10</v>
      </c>
      <c r="B207" t="s">
        <v>8</v>
      </c>
      <c r="C207" t="s">
        <v>178</v>
      </c>
      <c r="D207">
        <v>1</v>
      </c>
      <c r="E207">
        <v>1</v>
      </c>
    </row>
    <row r="208" spans="1:5" x14ac:dyDescent="0.2">
      <c r="A208">
        <v>70</v>
      </c>
      <c r="B208" t="s">
        <v>20</v>
      </c>
      <c r="C208" t="s">
        <v>179</v>
      </c>
      <c r="D208">
        <v>1</v>
      </c>
      <c r="E208">
        <v>1</v>
      </c>
    </row>
    <row r="209" spans="1:5" x14ac:dyDescent="0.2">
      <c r="A209">
        <v>10</v>
      </c>
      <c r="B209" t="s">
        <v>24</v>
      </c>
      <c r="C209" t="s">
        <v>89</v>
      </c>
      <c r="D209">
        <v>0</v>
      </c>
      <c r="E209">
        <v>0</v>
      </c>
    </row>
    <row r="210" spans="1:5" x14ac:dyDescent="0.2">
      <c r="A210">
        <v>4</v>
      </c>
      <c r="B210" t="s">
        <v>26</v>
      </c>
      <c r="C210" t="s">
        <v>111</v>
      </c>
      <c r="D210">
        <v>0</v>
      </c>
      <c r="E210">
        <v>0</v>
      </c>
    </row>
    <row r="211" spans="1:5" x14ac:dyDescent="0.2">
      <c r="A211">
        <v>70</v>
      </c>
      <c r="B211" t="s">
        <v>31</v>
      </c>
      <c r="C211" t="s">
        <v>180</v>
      </c>
      <c r="D211">
        <v>0</v>
      </c>
      <c r="E211">
        <v>0</v>
      </c>
    </row>
    <row r="212" spans="1:5" x14ac:dyDescent="0.2">
      <c r="A212">
        <v>40</v>
      </c>
      <c r="B212" t="s">
        <v>31</v>
      </c>
      <c r="C212" t="s">
        <v>65</v>
      </c>
      <c r="D212">
        <v>1</v>
      </c>
      <c r="E212">
        <v>0</v>
      </c>
    </row>
    <row r="213" spans="1:5" x14ac:dyDescent="0.2">
      <c r="A213">
        <v>10</v>
      </c>
      <c r="B213" t="s">
        <v>31</v>
      </c>
      <c r="C213" t="s">
        <v>181</v>
      </c>
      <c r="D213">
        <v>0</v>
      </c>
      <c r="E213">
        <v>0</v>
      </c>
    </row>
    <row r="214" spans="1:5" x14ac:dyDescent="0.2">
      <c r="A214">
        <v>40</v>
      </c>
      <c r="B214" t="s">
        <v>0</v>
      </c>
      <c r="C214" t="s">
        <v>182</v>
      </c>
      <c r="D214">
        <v>1</v>
      </c>
      <c r="E214">
        <v>1</v>
      </c>
    </row>
    <row r="215" spans="1:5" x14ac:dyDescent="0.2">
      <c r="A215">
        <v>10</v>
      </c>
      <c r="B215" t="s">
        <v>11</v>
      </c>
      <c r="C215" t="s">
        <v>59</v>
      </c>
      <c r="D215">
        <v>1</v>
      </c>
      <c r="E215">
        <v>0</v>
      </c>
    </row>
    <row r="216" spans="1:5" x14ac:dyDescent="0.2">
      <c r="A216">
        <v>40</v>
      </c>
      <c r="B216" t="s">
        <v>26</v>
      </c>
      <c r="C216" t="s">
        <v>183</v>
      </c>
      <c r="D216">
        <v>0</v>
      </c>
      <c r="E216">
        <v>1</v>
      </c>
    </row>
    <row r="217" spans="1:5" x14ac:dyDescent="0.2">
      <c r="A217">
        <v>70</v>
      </c>
      <c r="B217" t="s">
        <v>26</v>
      </c>
      <c r="C217" t="s">
        <v>85</v>
      </c>
      <c r="D217">
        <v>1</v>
      </c>
      <c r="E217">
        <v>1</v>
      </c>
    </row>
    <row r="218" spans="1:5" x14ac:dyDescent="0.2">
      <c r="A218">
        <v>20</v>
      </c>
      <c r="B218" t="s">
        <v>24</v>
      </c>
      <c r="C218" t="s">
        <v>99</v>
      </c>
      <c r="D218">
        <v>0</v>
      </c>
      <c r="E218">
        <v>0</v>
      </c>
    </row>
    <row r="219" spans="1:5" x14ac:dyDescent="0.2">
      <c r="A219">
        <v>4</v>
      </c>
      <c r="B219" t="s">
        <v>20</v>
      </c>
      <c r="C219" t="s">
        <v>184</v>
      </c>
      <c r="D219">
        <v>1</v>
      </c>
      <c r="E219">
        <v>1</v>
      </c>
    </row>
    <row r="220" spans="1:5" x14ac:dyDescent="0.2">
      <c r="A220">
        <v>70</v>
      </c>
      <c r="B220" t="s">
        <v>22</v>
      </c>
      <c r="C220" t="s">
        <v>174</v>
      </c>
      <c r="D220">
        <v>0</v>
      </c>
      <c r="E220">
        <v>0</v>
      </c>
    </row>
    <row r="221" spans="1:5" x14ac:dyDescent="0.2">
      <c r="A221">
        <v>70</v>
      </c>
      <c r="B221" t="s">
        <v>31</v>
      </c>
      <c r="C221" t="s">
        <v>180</v>
      </c>
      <c r="D221">
        <v>1</v>
      </c>
      <c r="E221">
        <v>1</v>
      </c>
    </row>
    <row r="222" spans="1:5" x14ac:dyDescent="0.2">
      <c r="A222">
        <v>20</v>
      </c>
      <c r="B222" t="s">
        <v>22</v>
      </c>
      <c r="C222" t="s">
        <v>151</v>
      </c>
      <c r="D222">
        <v>0</v>
      </c>
      <c r="E222">
        <v>0</v>
      </c>
    </row>
    <row r="223" spans="1:5" x14ac:dyDescent="0.2">
      <c r="A223">
        <v>20</v>
      </c>
      <c r="B223" t="s">
        <v>4</v>
      </c>
      <c r="C223" t="s">
        <v>185</v>
      </c>
      <c r="D223">
        <v>0</v>
      </c>
      <c r="E223">
        <v>1</v>
      </c>
    </row>
    <row r="224" spans="1:5" x14ac:dyDescent="0.2">
      <c r="A224">
        <v>4</v>
      </c>
      <c r="B224" t="s">
        <v>11</v>
      </c>
      <c r="C224" t="s">
        <v>186</v>
      </c>
      <c r="D224">
        <v>0</v>
      </c>
      <c r="E224">
        <v>1</v>
      </c>
    </row>
    <row r="225" spans="1:5" x14ac:dyDescent="0.2">
      <c r="A225">
        <v>40</v>
      </c>
      <c r="B225" t="s">
        <v>2</v>
      </c>
      <c r="C225" t="s">
        <v>187</v>
      </c>
      <c r="D225">
        <v>1</v>
      </c>
      <c r="E225">
        <v>1</v>
      </c>
    </row>
    <row r="226" spans="1:5" x14ac:dyDescent="0.2">
      <c r="A226">
        <v>4</v>
      </c>
      <c r="B226" t="s">
        <v>16</v>
      </c>
      <c r="C226" t="s">
        <v>55</v>
      </c>
      <c r="D226">
        <v>0</v>
      </c>
      <c r="E226">
        <v>1</v>
      </c>
    </row>
    <row r="227" spans="1:5" x14ac:dyDescent="0.2">
      <c r="A227">
        <v>10</v>
      </c>
      <c r="B227" t="s">
        <v>16</v>
      </c>
      <c r="C227" t="s">
        <v>134</v>
      </c>
      <c r="D227">
        <v>0</v>
      </c>
      <c r="E227">
        <v>1</v>
      </c>
    </row>
    <row r="228" spans="1:5" x14ac:dyDescent="0.2">
      <c r="A228">
        <v>40</v>
      </c>
      <c r="B228" t="s">
        <v>26</v>
      </c>
      <c r="C228" t="s">
        <v>144</v>
      </c>
      <c r="D228">
        <v>0</v>
      </c>
      <c r="E228">
        <v>1</v>
      </c>
    </row>
    <row r="229" spans="1:5" x14ac:dyDescent="0.2">
      <c r="A229">
        <v>20</v>
      </c>
      <c r="B229" t="s">
        <v>13</v>
      </c>
      <c r="C229" t="s">
        <v>188</v>
      </c>
      <c r="D229">
        <v>1</v>
      </c>
      <c r="E229">
        <v>1</v>
      </c>
    </row>
    <row r="230" spans="1:5" x14ac:dyDescent="0.2">
      <c r="A230">
        <v>40</v>
      </c>
      <c r="B230" t="s">
        <v>31</v>
      </c>
      <c r="C230" t="s">
        <v>189</v>
      </c>
      <c r="D230">
        <v>0</v>
      </c>
      <c r="E230">
        <v>0</v>
      </c>
    </row>
    <row r="231" spans="1:5" x14ac:dyDescent="0.2">
      <c r="A231">
        <v>40</v>
      </c>
      <c r="B231" t="s">
        <v>11</v>
      </c>
      <c r="C231" t="s">
        <v>190</v>
      </c>
      <c r="D231">
        <v>1</v>
      </c>
      <c r="E231">
        <v>1</v>
      </c>
    </row>
    <row r="232" spans="1:5" x14ac:dyDescent="0.2">
      <c r="A232">
        <v>70</v>
      </c>
      <c r="B232" t="s">
        <v>28</v>
      </c>
      <c r="C232" t="s">
        <v>161</v>
      </c>
      <c r="D232">
        <v>0</v>
      </c>
      <c r="E232">
        <v>1</v>
      </c>
    </row>
    <row r="233" spans="1:5" x14ac:dyDescent="0.2">
      <c r="A233">
        <v>70</v>
      </c>
      <c r="B233" t="s">
        <v>6</v>
      </c>
      <c r="C233" t="s">
        <v>80</v>
      </c>
      <c r="D233">
        <v>0</v>
      </c>
      <c r="E233">
        <v>0</v>
      </c>
    </row>
    <row r="234" spans="1:5" x14ac:dyDescent="0.2">
      <c r="A234">
        <v>40</v>
      </c>
      <c r="B234" t="s">
        <v>26</v>
      </c>
      <c r="C234" t="s">
        <v>183</v>
      </c>
      <c r="D234">
        <v>1</v>
      </c>
      <c r="E234">
        <v>1</v>
      </c>
    </row>
    <row r="235" spans="1:5" x14ac:dyDescent="0.2">
      <c r="A235">
        <v>40</v>
      </c>
      <c r="B235" t="s">
        <v>28</v>
      </c>
      <c r="C235" t="s">
        <v>52</v>
      </c>
      <c r="D235">
        <v>0</v>
      </c>
      <c r="E235">
        <v>1</v>
      </c>
    </row>
    <row r="236" spans="1:5" x14ac:dyDescent="0.2">
      <c r="A236">
        <v>10</v>
      </c>
      <c r="B236" t="s">
        <v>13</v>
      </c>
      <c r="C236" t="s">
        <v>191</v>
      </c>
      <c r="D236">
        <v>0</v>
      </c>
      <c r="E236">
        <v>0</v>
      </c>
    </row>
    <row r="237" spans="1:5" x14ac:dyDescent="0.2">
      <c r="A237">
        <v>4</v>
      </c>
      <c r="B237" t="s">
        <v>26</v>
      </c>
      <c r="C237" t="s">
        <v>67</v>
      </c>
      <c r="D237">
        <v>0</v>
      </c>
      <c r="E237">
        <v>0</v>
      </c>
    </row>
    <row r="238" spans="1:5" x14ac:dyDescent="0.2">
      <c r="A238">
        <v>20</v>
      </c>
      <c r="B238" t="s">
        <v>20</v>
      </c>
      <c r="C238" t="s">
        <v>192</v>
      </c>
      <c r="D238">
        <v>0</v>
      </c>
      <c r="E238">
        <v>0</v>
      </c>
    </row>
    <row r="239" spans="1:5" x14ac:dyDescent="0.2">
      <c r="A239">
        <v>70</v>
      </c>
      <c r="B239" t="s">
        <v>13</v>
      </c>
      <c r="C239" t="s">
        <v>135</v>
      </c>
      <c r="D239">
        <v>0</v>
      </c>
      <c r="E239">
        <v>0</v>
      </c>
    </row>
    <row r="240" spans="1:5" x14ac:dyDescent="0.2">
      <c r="A240">
        <v>70</v>
      </c>
      <c r="B240" t="s">
        <v>28</v>
      </c>
      <c r="C240" t="s">
        <v>193</v>
      </c>
      <c r="D240">
        <v>0</v>
      </c>
      <c r="E240">
        <v>0</v>
      </c>
    </row>
    <row r="241" spans="1:5" x14ac:dyDescent="0.2">
      <c r="A241">
        <v>4</v>
      </c>
      <c r="B241" t="s">
        <v>22</v>
      </c>
      <c r="C241" t="s">
        <v>171</v>
      </c>
      <c r="D241">
        <v>1</v>
      </c>
      <c r="E241">
        <v>1</v>
      </c>
    </row>
    <row r="242" spans="1:5" x14ac:dyDescent="0.2">
      <c r="A242">
        <v>20</v>
      </c>
      <c r="B242" t="s">
        <v>13</v>
      </c>
      <c r="C242" t="s">
        <v>188</v>
      </c>
      <c r="D242">
        <v>0</v>
      </c>
      <c r="E242">
        <v>0</v>
      </c>
    </row>
    <row r="243" spans="1:5" x14ac:dyDescent="0.2">
      <c r="A243">
        <v>10</v>
      </c>
      <c r="B243" t="s">
        <v>26</v>
      </c>
      <c r="C243" t="s">
        <v>123</v>
      </c>
      <c r="D243">
        <v>0</v>
      </c>
      <c r="E243">
        <v>1</v>
      </c>
    </row>
    <row r="244" spans="1:5" x14ac:dyDescent="0.2">
      <c r="A244">
        <v>40</v>
      </c>
      <c r="B244" t="s">
        <v>24</v>
      </c>
      <c r="C244" t="s">
        <v>84</v>
      </c>
      <c r="D244">
        <v>1</v>
      </c>
      <c r="E244">
        <v>1</v>
      </c>
    </row>
    <row r="245" spans="1:5" x14ac:dyDescent="0.2">
      <c r="A245">
        <v>10</v>
      </c>
      <c r="B245" t="s">
        <v>4</v>
      </c>
      <c r="C245" t="s">
        <v>194</v>
      </c>
      <c r="D245">
        <v>0</v>
      </c>
      <c r="E245">
        <v>1</v>
      </c>
    </row>
    <row r="246" spans="1:5" x14ac:dyDescent="0.2">
      <c r="A246">
        <v>10</v>
      </c>
      <c r="B246" t="s">
        <v>31</v>
      </c>
      <c r="C246" t="s">
        <v>181</v>
      </c>
      <c r="D246">
        <v>1</v>
      </c>
      <c r="E246">
        <v>1</v>
      </c>
    </row>
    <row r="247" spans="1:5" x14ac:dyDescent="0.2">
      <c r="A247">
        <v>70</v>
      </c>
      <c r="B247" t="s">
        <v>0</v>
      </c>
      <c r="C247" t="s">
        <v>120</v>
      </c>
      <c r="D247">
        <v>0</v>
      </c>
      <c r="E247">
        <v>0</v>
      </c>
    </row>
    <row r="248" spans="1:5" x14ac:dyDescent="0.2">
      <c r="A248">
        <v>70</v>
      </c>
      <c r="B248" t="s">
        <v>24</v>
      </c>
      <c r="C248" t="s">
        <v>155</v>
      </c>
      <c r="D248">
        <v>1</v>
      </c>
      <c r="E248">
        <v>0</v>
      </c>
    </row>
    <row r="249" spans="1:5" x14ac:dyDescent="0.2">
      <c r="A249">
        <v>70</v>
      </c>
      <c r="B249" t="s">
        <v>20</v>
      </c>
      <c r="C249" t="s">
        <v>179</v>
      </c>
      <c r="D249">
        <v>0</v>
      </c>
      <c r="E249">
        <v>0</v>
      </c>
    </row>
    <row r="250" spans="1:5" x14ac:dyDescent="0.2">
      <c r="A250">
        <v>70</v>
      </c>
      <c r="B250" t="s">
        <v>22</v>
      </c>
      <c r="C250" t="s">
        <v>73</v>
      </c>
      <c r="D250">
        <v>1</v>
      </c>
      <c r="E250">
        <v>1</v>
      </c>
    </row>
    <row r="251" spans="1:5" x14ac:dyDescent="0.2">
      <c r="A251">
        <v>10</v>
      </c>
      <c r="B251" t="s">
        <v>18</v>
      </c>
      <c r="C251" t="s">
        <v>154</v>
      </c>
      <c r="D251">
        <v>0</v>
      </c>
      <c r="E251">
        <v>0</v>
      </c>
    </row>
    <row r="252" spans="1:5" x14ac:dyDescent="0.2">
      <c r="A252">
        <v>10</v>
      </c>
      <c r="B252" t="s">
        <v>2</v>
      </c>
      <c r="C252" t="s">
        <v>195</v>
      </c>
      <c r="D252">
        <v>1</v>
      </c>
      <c r="E252">
        <v>1</v>
      </c>
    </row>
    <row r="253" spans="1:5" x14ac:dyDescent="0.2">
      <c r="A253">
        <v>70</v>
      </c>
      <c r="B253" t="s">
        <v>2</v>
      </c>
      <c r="C253" t="s">
        <v>196</v>
      </c>
      <c r="D253">
        <v>1</v>
      </c>
      <c r="E253">
        <v>1</v>
      </c>
    </row>
    <row r="254" spans="1:5" x14ac:dyDescent="0.2">
      <c r="A254">
        <v>10</v>
      </c>
      <c r="B254" t="s">
        <v>2</v>
      </c>
      <c r="C254" t="s">
        <v>195</v>
      </c>
      <c r="D254">
        <v>0</v>
      </c>
      <c r="E254">
        <v>0</v>
      </c>
    </row>
    <row r="255" spans="1:5" x14ac:dyDescent="0.2">
      <c r="A255">
        <v>20</v>
      </c>
      <c r="B255" t="s">
        <v>20</v>
      </c>
      <c r="C255" t="s">
        <v>197</v>
      </c>
      <c r="D255">
        <v>1</v>
      </c>
      <c r="E255">
        <v>1</v>
      </c>
    </row>
    <row r="256" spans="1:5" x14ac:dyDescent="0.2">
      <c r="A256">
        <v>70</v>
      </c>
      <c r="B256" t="s">
        <v>18</v>
      </c>
      <c r="C256" t="s">
        <v>198</v>
      </c>
      <c r="D256">
        <v>0</v>
      </c>
      <c r="E256">
        <v>0</v>
      </c>
    </row>
    <row r="257" spans="1:5" x14ac:dyDescent="0.2">
      <c r="A257">
        <v>70</v>
      </c>
      <c r="B257" t="s">
        <v>26</v>
      </c>
      <c r="C257" t="s">
        <v>159</v>
      </c>
      <c r="D257">
        <v>1</v>
      </c>
      <c r="E257">
        <v>1</v>
      </c>
    </row>
    <row r="258" spans="1:5" x14ac:dyDescent="0.2">
      <c r="A258">
        <v>70</v>
      </c>
      <c r="B258" t="s">
        <v>4</v>
      </c>
      <c r="C258" t="s">
        <v>74</v>
      </c>
      <c r="D258">
        <v>0</v>
      </c>
      <c r="E258">
        <v>0</v>
      </c>
    </row>
    <row r="259" spans="1:5" x14ac:dyDescent="0.2">
      <c r="A259">
        <v>10</v>
      </c>
      <c r="B259" t="s">
        <v>24</v>
      </c>
      <c r="C259" t="s">
        <v>96</v>
      </c>
      <c r="D259">
        <v>1</v>
      </c>
      <c r="E259">
        <v>1</v>
      </c>
    </row>
    <row r="260" spans="1:5" x14ac:dyDescent="0.2">
      <c r="A260">
        <v>10</v>
      </c>
      <c r="B260" t="s">
        <v>13</v>
      </c>
      <c r="C260" t="s">
        <v>199</v>
      </c>
      <c r="D260">
        <v>1</v>
      </c>
      <c r="E260">
        <v>1</v>
      </c>
    </row>
    <row r="261" spans="1:5" x14ac:dyDescent="0.2">
      <c r="A261">
        <v>20</v>
      </c>
      <c r="B261" t="s">
        <v>6</v>
      </c>
      <c r="C261" t="s">
        <v>200</v>
      </c>
      <c r="D261">
        <v>1</v>
      </c>
      <c r="E261">
        <v>1</v>
      </c>
    </row>
    <row r="262" spans="1:5" x14ac:dyDescent="0.2">
      <c r="A262">
        <v>40</v>
      </c>
      <c r="B262" t="s">
        <v>8</v>
      </c>
      <c r="C262" t="s">
        <v>201</v>
      </c>
      <c r="D262">
        <v>1</v>
      </c>
      <c r="E262">
        <v>1</v>
      </c>
    </row>
    <row r="263" spans="1:5" x14ac:dyDescent="0.2">
      <c r="A263">
        <v>4</v>
      </c>
      <c r="B263" t="s">
        <v>6</v>
      </c>
      <c r="C263" t="s">
        <v>202</v>
      </c>
      <c r="D263">
        <v>1</v>
      </c>
      <c r="E263">
        <v>1</v>
      </c>
    </row>
    <row r="264" spans="1:5" x14ac:dyDescent="0.2">
      <c r="A264">
        <v>10</v>
      </c>
      <c r="B264" t="s">
        <v>6</v>
      </c>
      <c r="C264" t="s">
        <v>203</v>
      </c>
      <c r="D264">
        <v>1</v>
      </c>
      <c r="E264">
        <v>1</v>
      </c>
    </row>
    <row r="265" spans="1:5" x14ac:dyDescent="0.2">
      <c r="A265">
        <v>40</v>
      </c>
      <c r="B265" t="s">
        <v>22</v>
      </c>
      <c r="C265" t="s">
        <v>204</v>
      </c>
      <c r="D265">
        <v>1</v>
      </c>
      <c r="E265">
        <v>1</v>
      </c>
    </row>
    <row r="266" spans="1:5" x14ac:dyDescent="0.2">
      <c r="A266">
        <v>70</v>
      </c>
      <c r="B266" t="s">
        <v>8</v>
      </c>
      <c r="C266" t="s">
        <v>165</v>
      </c>
      <c r="D266">
        <v>0</v>
      </c>
      <c r="E266">
        <v>1</v>
      </c>
    </row>
    <row r="267" spans="1:5" x14ac:dyDescent="0.2">
      <c r="A267">
        <v>20</v>
      </c>
      <c r="B267" t="s">
        <v>28</v>
      </c>
      <c r="C267" t="s">
        <v>145</v>
      </c>
      <c r="D267">
        <v>0</v>
      </c>
      <c r="E267">
        <v>1</v>
      </c>
    </row>
    <row r="268" spans="1:5" x14ac:dyDescent="0.2">
      <c r="A268">
        <v>10</v>
      </c>
      <c r="B268" t="s">
        <v>28</v>
      </c>
      <c r="C268" t="s">
        <v>41</v>
      </c>
      <c r="D268">
        <v>1</v>
      </c>
      <c r="E268">
        <v>0</v>
      </c>
    </row>
    <row r="269" spans="1:5" x14ac:dyDescent="0.2">
      <c r="A269">
        <v>40</v>
      </c>
      <c r="B269" t="s">
        <v>24</v>
      </c>
      <c r="C269" t="s">
        <v>205</v>
      </c>
      <c r="D269">
        <v>0</v>
      </c>
      <c r="E269">
        <v>1</v>
      </c>
    </row>
    <row r="270" spans="1:5" x14ac:dyDescent="0.2">
      <c r="A270">
        <v>20</v>
      </c>
      <c r="B270" t="s">
        <v>26</v>
      </c>
      <c r="C270" t="s">
        <v>206</v>
      </c>
      <c r="D270">
        <v>1</v>
      </c>
      <c r="E270">
        <v>1</v>
      </c>
    </row>
    <row r="271" spans="1:5" x14ac:dyDescent="0.2">
      <c r="A271">
        <v>40</v>
      </c>
      <c r="B271" t="s">
        <v>8</v>
      </c>
      <c r="C271" t="s">
        <v>136</v>
      </c>
      <c r="D271">
        <v>1</v>
      </c>
      <c r="E271">
        <v>1</v>
      </c>
    </row>
    <row r="272" spans="1:5" x14ac:dyDescent="0.2">
      <c r="A272">
        <v>40</v>
      </c>
      <c r="B272" t="s">
        <v>20</v>
      </c>
      <c r="C272" t="s">
        <v>207</v>
      </c>
      <c r="D272">
        <v>0</v>
      </c>
      <c r="E272">
        <v>0</v>
      </c>
    </row>
    <row r="273" spans="1:5" x14ac:dyDescent="0.2">
      <c r="A273">
        <v>10</v>
      </c>
      <c r="B273" t="s">
        <v>20</v>
      </c>
      <c r="C273" t="s">
        <v>48</v>
      </c>
      <c r="D273">
        <v>0</v>
      </c>
      <c r="E273">
        <v>0</v>
      </c>
    </row>
    <row r="274" spans="1:5" x14ac:dyDescent="0.2">
      <c r="A274">
        <v>20</v>
      </c>
      <c r="B274" t="s">
        <v>20</v>
      </c>
      <c r="C274" t="s">
        <v>208</v>
      </c>
      <c r="D274">
        <v>0</v>
      </c>
      <c r="E274">
        <v>0</v>
      </c>
    </row>
    <row r="275" spans="1:5" x14ac:dyDescent="0.2">
      <c r="A275">
        <v>40</v>
      </c>
      <c r="B275" t="s">
        <v>2</v>
      </c>
      <c r="C275" t="s">
        <v>187</v>
      </c>
      <c r="D275">
        <v>0</v>
      </c>
      <c r="E275">
        <v>0</v>
      </c>
    </row>
    <row r="276" spans="1:5" x14ac:dyDescent="0.2">
      <c r="A276">
        <v>40</v>
      </c>
      <c r="B276" t="s">
        <v>16</v>
      </c>
      <c r="C276" t="s">
        <v>209</v>
      </c>
      <c r="D276">
        <v>1</v>
      </c>
      <c r="E276">
        <v>1</v>
      </c>
    </row>
    <row r="277" spans="1:5" x14ac:dyDescent="0.2">
      <c r="A277">
        <v>40</v>
      </c>
      <c r="B277" t="s">
        <v>22</v>
      </c>
      <c r="C277" t="s">
        <v>204</v>
      </c>
      <c r="D277">
        <v>0</v>
      </c>
      <c r="E277">
        <v>0</v>
      </c>
    </row>
    <row r="278" spans="1:5" x14ac:dyDescent="0.2">
      <c r="A278">
        <v>70</v>
      </c>
      <c r="B278" t="s">
        <v>20</v>
      </c>
      <c r="C278" t="s">
        <v>21</v>
      </c>
      <c r="D278">
        <v>1</v>
      </c>
      <c r="E278">
        <v>1</v>
      </c>
    </row>
    <row r="279" spans="1:5" x14ac:dyDescent="0.2">
      <c r="A279">
        <v>10</v>
      </c>
      <c r="B279" t="s">
        <v>13</v>
      </c>
      <c r="C279" t="s">
        <v>199</v>
      </c>
      <c r="D279">
        <v>0</v>
      </c>
      <c r="E279">
        <v>0</v>
      </c>
    </row>
    <row r="280" spans="1:5" x14ac:dyDescent="0.2">
      <c r="A280">
        <v>70</v>
      </c>
      <c r="B280" t="s">
        <v>0</v>
      </c>
      <c r="C280" t="s">
        <v>83</v>
      </c>
      <c r="D280">
        <v>1</v>
      </c>
      <c r="E280">
        <v>0</v>
      </c>
    </row>
    <row r="281" spans="1:5" x14ac:dyDescent="0.2">
      <c r="A281">
        <v>20</v>
      </c>
      <c r="B281" t="s">
        <v>28</v>
      </c>
      <c r="C281" t="s">
        <v>210</v>
      </c>
      <c r="D281">
        <v>1</v>
      </c>
      <c r="E281">
        <v>1</v>
      </c>
    </row>
    <row r="282" spans="1:5" x14ac:dyDescent="0.2">
      <c r="A282">
        <v>10</v>
      </c>
      <c r="B282" t="s">
        <v>8</v>
      </c>
      <c r="C282" t="s">
        <v>211</v>
      </c>
      <c r="D282">
        <v>0</v>
      </c>
      <c r="E282">
        <v>0</v>
      </c>
    </row>
    <row r="283" spans="1:5" x14ac:dyDescent="0.2">
      <c r="A283">
        <v>4</v>
      </c>
      <c r="B283" t="s">
        <v>22</v>
      </c>
      <c r="C283" t="s">
        <v>87</v>
      </c>
      <c r="D283">
        <v>1</v>
      </c>
      <c r="E283">
        <v>1</v>
      </c>
    </row>
    <row r="284" spans="1:5" x14ac:dyDescent="0.2">
      <c r="A284">
        <v>70</v>
      </c>
      <c r="B284" t="s">
        <v>2</v>
      </c>
      <c r="C284" t="s">
        <v>110</v>
      </c>
      <c r="D284">
        <v>0</v>
      </c>
      <c r="E284">
        <v>0</v>
      </c>
    </row>
    <row r="285" spans="1:5" x14ac:dyDescent="0.2">
      <c r="A285">
        <v>10</v>
      </c>
      <c r="B285" t="s">
        <v>22</v>
      </c>
      <c r="C285" t="s">
        <v>40</v>
      </c>
      <c r="D285">
        <v>1</v>
      </c>
      <c r="E285">
        <v>1</v>
      </c>
    </row>
    <row r="286" spans="1:5" x14ac:dyDescent="0.2">
      <c r="A286">
        <v>10</v>
      </c>
      <c r="B286" t="s">
        <v>13</v>
      </c>
      <c r="C286" t="s">
        <v>191</v>
      </c>
      <c r="D286">
        <v>1</v>
      </c>
      <c r="E286">
        <v>1</v>
      </c>
    </row>
    <row r="287" spans="1:5" x14ac:dyDescent="0.2">
      <c r="A287">
        <v>20</v>
      </c>
      <c r="B287" t="s">
        <v>4</v>
      </c>
      <c r="C287" t="s">
        <v>69</v>
      </c>
      <c r="D287">
        <v>0</v>
      </c>
      <c r="E287">
        <v>0</v>
      </c>
    </row>
    <row r="288" spans="1:5" x14ac:dyDescent="0.2">
      <c r="A288">
        <v>10</v>
      </c>
      <c r="B288" t="s">
        <v>8</v>
      </c>
      <c r="C288" t="s">
        <v>178</v>
      </c>
      <c r="D288">
        <v>0</v>
      </c>
      <c r="E288">
        <v>0</v>
      </c>
    </row>
    <row r="289" spans="1:5" x14ac:dyDescent="0.2">
      <c r="A289">
        <v>4</v>
      </c>
      <c r="B289" t="s">
        <v>31</v>
      </c>
      <c r="C289" t="s">
        <v>212</v>
      </c>
      <c r="D289">
        <v>1</v>
      </c>
      <c r="E289">
        <v>0</v>
      </c>
    </row>
    <row r="290" spans="1:5" x14ac:dyDescent="0.2">
      <c r="A290">
        <v>20</v>
      </c>
      <c r="B290" t="s">
        <v>31</v>
      </c>
      <c r="C290" t="s">
        <v>75</v>
      </c>
      <c r="D290">
        <v>0</v>
      </c>
      <c r="E290">
        <v>1</v>
      </c>
    </row>
    <row r="291" spans="1:5" x14ac:dyDescent="0.2">
      <c r="A291">
        <v>10</v>
      </c>
      <c r="B291" t="s">
        <v>11</v>
      </c>
      <c r="C291" t="s">
        <v>213</v>
      </c>
      <c r="D291">
        <v>0</v>
      </c>
      <c r="E291">
        <v>0</v>
      </c>
    </row>
    <row r="292" spans="1:5" x14ac:dyDescent="0.2">
      <c r="A292">
        <v>20</v>
      </c>
      <c r="B292" t="s">
        <v>11</v>
      </c>
      <c r="C292" t="s">
        <v>61</v>
      </c>
      <c r="D292">
        <v>0</v>
      </c>
      <c r="E292">
        <v>0</v>
      </c>
    </row>
    <row r="293" spans="1:5" x14ac:dyDescent="0.2">
      <c r="A293">
        <v>4</v>
      </c>
      <c r="B293" t="s">
        <v>24</v>
      </c>
      <c r="C293" t="s">
        <v>214</v>
      </c>
      <c r="D293">
        <v>0</v>
      </c>
      <c r="E293">
        <v>1</v>
      </c>
    </row>
    <row r="294" spans="1:5" x14ac:dyDescent="0.2">
      <c r="A294">
        <v>40</v>
      </c>
      <c r="B294" t="s">
        <v>0</v>
      </c>
      <c r="C294" t="s">
        <v>169</v>
      </c>
      <c r="D294">
        <v>0</v>
      </c>
      <c r="E294">
        <v>0</v>
      </c>
    </row>
    <row r="295" spans="1:5" x14ac:dyDescent="0.2">
      <c r="A295">
        <v>4</v>
      </c>
      <c r="B295" t="s">
        <v>0</v>
      </c>
      <c r="C295" t="s">
        <v>215</v>
      </c>
      <c r="D295">
        <v>1</v>
      </c>
      <c r="E295">
        <v>0</v>
      </c>
    </row>
    <row r="296" spans="1:5" x14ac:dyDescent="0.2">
      <c r="A296">
        <v>70</v>
      </c>
      <c r="B296" t="s">
        <v>13</v>
      </c>
      <c r="C296" t="s">
        <v>14</v>
      </c>
      <c r="D296">
        <v>1</v>
      </c>
      <c r="E296">
        <v>1</v>
      </c>
    </row>
    <row r="297" spans="1:5" x14ac:dyDescent="0.2">
      <c r="A297">
        <v>20</v>
      </c>
      <c r="B297" t="s">
        <v>4</v>
      </c>
      <c r="C297" t="s">
        <v>185</v>
      </c>
      <c r="D297">
        <v>1</v>
      </c>
      <c r="E297">
        <v>0</v>
      </c>
    </row>
    <row r="298" spans="1:5" x14ac:dyDescent="0.2">
      <c r="A298">
        <v>40</v>
      </c>
      <c r="B298" t="s">
        <v>13</v>
      </c>
      <c r="C298" t="s">
        <v>216</v>
      </c>
      <c r="D298">
        <v>0</v>
      </c>
      <c r="E298">
        <v>0</v>
      </c>
    </row>
    <row r="299" spans="1:5" x14ac:dyDescent="0.2">
      <c r="A299">
        <v>10</v>
      </c>
      <c r="B299" t="s">
        <v>31</v>
      </c>
      <c r="C299" t="s">
        <v>217</v>
      </c>
      <c r="D299">
        <v>0</v>
      </c>
      <c r="E299">
        <v>0</v>
      </c>
    </row>
    <row r="300" spans="1:5" x14ac:dyDescent="0.2">
      <c r="A300">
        <v>40</v>
      </c>
      <c r="B300" t="s">
        <v>4</v>
      </c>
      <c r="C300" t="s">
        <v>107</v>
      </c>
      <c r="D300">
        <v>0</v>
      </c>
      <c r="E300">
        <v>1</v>
      </c>
    </row>
    <row r="301" spans="1:5" x14ac:dyDescent="0.2">
      <c r="A301">
        <v>70</v>
      </c>
      <c r="B301" t="s">
        <v>8</v>
      </c>
      <c r="C301" t="s">
        <v>10</v>
      </c>
      <c r="D301">
        <v>1</v>
      </c>
      <c r="E301">
        <v>1</v>
      </c>
    </row>
    <row r="302" spans="1:5" x14ac:dyDescent="0.2">
      <c r="A302">
        <v>10</v>
      </c>
      <c r="B302" t="s">
        <v>26</v>
      </c>
      <c r="C302" t="s">
        <v>76</v>
      </c>
      <c r="D302">
        <v>1</v>
      </c>
      <c r="E302">
        <v>1</v>
      </c>
    </row>
    <row r="303" spans="1:5" x14ac:dyDescent="0.2">
      <c r="A303">
        <v>40</v>
      </c>
      <c r="B303" t="s">
        <v>13</v>
      </c>
      <c r="C303" t="s">
        <v>218</v>
      </c>
      <c r="D303">
        <v>0</v>
      </c>
      <c r="E303">
        <v>0</v>
      </c>
    </row>
    <row r="304" spans="1:5" x14ac:dyDescent="0.2">
      <c r="A304">
        <v>40</v>
      </c>
      <c r="B304" t="s">
        <v>6</v>
      </c>
      <c r="C304" t="s">
        <v>62</v>
      </c>
      <c r="D304">
        <v>1</v>
      </c>
      <c r="E304">
        <v>1</v>
      </c>
    </row>
    <row r="305" spans="1:5" x14ac:dyDescent="0.2">
      <c r="A305">
        <v>40</v>
      </c>
      <c r="B305" t="s">
        <v>4</v>
      </c>
      <c r="C305" t="s">
        <v>100</v>
      </c>
      <c r="D305">
        <v>0</v>
      </c>
      <c r="E305">
        <v>0</v>
      </c>
    </row>
    <row r="306" spans="1:5" x14ac:dyDescent="0.2">
      <c r="A306">
        <v>10</v>
      </c>
      <c r="B306" t="s">
        <v>6</v>
      </c>
      <c r="C306" t="s">
        <v>7</v>
      </c>
      <c r="D306">
        <v>1</v>
      </c>
      <c r="E306">
        <v>1</v>
      </c>
    </row>
    <row r="307" spans="1:5" x14ac:dyDescent="0.2">
      <c r="A307">
        <v>4</v>
      </c>
      <c r="B307" t="s">
        <v>4</v>
      </c>
      <c r="C307" t="s">
        <v>56</v>
      </c>
      <c r="D307">
        <v>0</v>
      </c>
      <c r="E307">
        <v>0</v>
      </c>
    </row>
    <row r="308" spans="1:5" x14ac:dyDescent="0.2">
      <c r="A308">
        <v>4</v>
      </c>
      <c r="B308" t="s">
        <v>2</v>
      </c>
      <c r="C308" t="s">
        <v>81</v>
      </c>
      <c r="D308">
        <v>0</v>
      </c>
      <c r="E308">
        <v>0</v>
      </c>
    </row>
    <row r="309" spans="1:5" x14ac:dyDescent="0.2">
      <c r="A309">
        <v>20</v>
      </c>
      <c r="B309" t="s">
        <v>18</v>
      </c>
      <c r="C309" t="s">
        <v>124</v>
      </c>
      <c r="D309">
        <v>0</v>
      </c>
      <c r="E309">
        <v>0</v>
      </c>
    </row>
    <row r="310" spans="1:5" x14ac:dyDescent="0.2">
      <c r="A310">
        <v>40</v>
      </c>
      <c r="B310" t="s">
        <v>16</v>
      </c>
      <c r="C310" t="s">
        <v>209</v>
      </c>
      <c r="D310">
        <v>0</v>
      </c>
      <c r="E310">
        <v>0</v>
      </c>
    </row>
    <row r="311" spans="1:5" x14ac:dyDescent="0.2">
      <c r="A311">
        <v>40</v>
      </c>
      <c r="B311" t="s">
        <v>2</v>
      </c>
      <c r="C311" t="s">
        <v>219</v>
      </c>
      <c r="D311">
        <v>1</v>
      </c>
      <c r="E311">
        <v>1</v>
      </c>
    </row>
    <row r="312" spans="1:5" x14ac:dyDescent="0.2">
      <c r="A312">
        <v>40</v>
      </c>
      <c r="B312" t="s">
        <v>2</v>
      </c>
      <c r="C312" t="s">
        <v>167</v>
      </c>
      <c r="D312">
        <v>1</v>
      </c>
      <c r="E312">
        <v>1</v>
      </c>
    </row>
    <row r="313" spans="1:5" x14ac:dyDescent="0.2">
      <c r="A313">
        <v>40</v>
      </c>
      <c r="B313" t="s">
        <v>6</v>
      </c>
      <c r="C313" t="s">
        <v>53</v>
      </c>
      <c r="D313">
        <v>0</v>
      </c>
      <c r="E313">
        <v>0</v>
      </c>
    </row>
    <row r="314" spans="1:5" x14ac:dyDescent="0.2">
      <c r="A314">
        <v>4</v>
      </c>
      <c r="B314" t="s">
        <v>24</v>
      </c>
      <c r="C314" t="s">
        <v>214</v>
      </c>
      <c r="D314">
        <v>1</v>
      </c>
      <c r="E314">
        <v>0</v>
      </c>
    </row>
    <row r="315" spans="1:5" x14ac:dyDescent="0.2">
      <c r="A315">
        <v>70</v>
      </c>
      <c r="B315" t="s">
        <v>22</v>
      </c>
      <c r="C315" t="s">
        <v>34</v>
      </c>
      <c r="D315">
        <v>1</v>
      </c>
      <c r="E315">
        <v>1</v>
      </c>
    </row>
    <row r="316" spans="1:5" x14ac:dyDescent="0.2">
      <c r="A316">
        <v>20</v>
      </c>
      <c r="B316" t="s">
        <v>26</v>
      </c>
      <c r="C316" t="s">
        <v>131</v>
      </c>
      <c r="D316">
        <v>0</v>
      </c>
      <c r="E316">
        <v>0</v>
      </c>
    </row>
    <row r="317" spans="1:5" x14ac:dyDescent="0.2">
      <c r="A317">
        <v>10</v>
      </c>
      <c r="B317" t="s">
        <v>13</v>
      </c>
      <c r="C317" t="s">
        <v>126</v>
      </c>
      <c r="D317">
        <v>1</v>
      </c>
      <c r="E317">
        <v>0</v>
      </c>
    </row>
    <row r="318" spans="1:5" x14ac:dyDescent="0.2">
      <c r="A318">
        <v>10</v>
      </c>
      <c r="B318" t="s">
        <v>0</v>
      </c>
      <c r="C318" t="s">
        <v>220</v>
      </c>
      <c r="D318">
        <v>0</v>
      </c>
      <c r="E318">
        <v>0</v>
      </c>
    </row>
    <row r="319" spans="1:5" x14ac:dyDescent="0.2">
      <c r="A319">
        <v>40</v>
      </c>
      <c r="B319" t="s">
        <v>18</v>
      </c>
      <c r="C319" t="s">
        <v>93</v>
      </c>
      <c r="D319">
        <v>1</v>
      </c>
      <c r="E319">
        <v>1</v>
      </c>
    </row>
    <row r="320" spans="1:5" x14ac:dyDescent="0.2">
      <c r="A320">
        <v>4</v>
      </c>
      <c r="B320" t="s">
        <v>8</v>
      </c>
      <c r="C320" t="s">
        <v>133</v>
      </c>
      <c r="D320">
        <v>0</v>
      </c>
      <c r="E320">
        <v>1</v>
      </c>
    </row>
    <row r="321" spans="1:5" x14ac:dyDescent="0.2">
      <c r="A321">
        <v>4</v>
      </c>
      <c r="B321" t="s">
        <v>18</v>
      </c>
      <c r="C321" t="s">
        <v>128</v>
      </c>
      <c r="D321">
        <v>0</v>
      </c>
      <c r="E321">
        <v>1</v>
      </c>
    </row>
    <row r="322" spans="1:5" x14ac:dyDescent="0.2">
      <c r="A322">
        <v>40</v>
      </c>
      <c r="B322" t="s">
        <v>28</v>
      </c>
      <c r="C322" t="s">
        <v>221</v>
      </c>
      <c r="D322">
        <v>0</v>
      </c>
      <c r="E322">
        <v>0</v>
      </c>
    </row>
    <row r="323" spans="1:5" x14ac:dyDescent="0.2">
      <c r="A323">
        <v>40</v>
      </c>
      <c r="B323" t="s">
        <v>20</v>
      </c>
      <c r="C323" t="s">
        <v>33</v>
      </c>
      <c r="D323">
        <v>1</v>
      </c>
      <c r="E323">
        <v>0</v>
      </c>
    </row>
    <row r="324" spans="1:5" x14ac:dyDescent="0.2">
      <c r="A324">
        <v>20</v>
      </c>
      <c r="B324" t="s">
        <v>13</v>
      </c>
      <c r="C324" t="s">
        <v>88</v>
      </c>
      <c r="D324">
        <v>1</v>
      </c>
      <c r="E324">
        <v>1</v>
      </c>
    </row>
    <row r="325" spans="1:5" x14ac:dyDescent="0.2">
      <c r="A325">
        <v>20</v>
      </c>
      <c r="B325" t="s">
        <v>31</v>
      </c>
      <c r="C325" t="s">
        <v>105</v>
      </c>
      <c r="D325">
        <v>0</v>
      </c>
      <c r="E325">
        <v>0</v>
      </c>
    </row>
    <row r="326" spans="1:5" x14ac:dyDescent="0.2">
      <c r="A326">
        <v>20</v>
      </c>
      <c r="B326" t="s">
        <v>26</v>
      </c>
      <c r="C326" t="s">
        <v>139</v>
      </c>
      <c r="D326">
        <v>1</v>
      </c>
      <c r="E326">
        <v>1</v>
      </c>
    </row>
    <row r="327" spans="1:5" x14ac:dyDescent="0.2">
      <c r="A327">
        <v>40</v>
      </c>
      <c r="B327" t="s">
        <v>0</v>
      </c>
      <c r="C327" t="s">
        <v>182</v>
      </c>
      <c r="D327">
        <v>0</v>
      </c>
      <c r="E327">
        <v>0</v>
      </c>
    </row>
    <row r="328" spans="1:5" x14ac:dyDescent="0.2">
      <c r="A328">
        <v>4</v>
      </c>
      <c r="B328" t="s">
        <v>18</v>
      </c>
      <c r="C328" t="s">
        <v>222</v>
      </c>
      <c r="D328">
        <v>0</v>
      </c>
      <c r="E328">
        <v>0</v>
      </c>
    </row>
    <row r="329" spans="1:5" x14ac:dyDescent="0.2">
      <c r="A329">
        <v>10</v>
      </c>
      <c r="B329" t="s">
        <v>22</v>
      </c>
      <c r="C329" t="s">
        <v>23</v>
      </c>
      <c r="D329">
        <v>1</v>
      </c>
      <c r="E329">
        <v>1</v>
      </c>
    </row>
    <row r="330" spans="1:5" x14ac:dyDescent="0.2">
      <c r="A330">
        <v>4</v>
      </c>
      <c r="B330" t="s">
        <v>31</v>
      </c>
      <c r="C330" t="s">
        <v>212</v>
      </c>
      <c r="D330">
        <v>0</v>
      </c>
      <c r="E330">
        <v>1</v>
      </c>
    </row>
    <row r="331" spans="1:5" x14ac:dyDescent="0.2">
      <c r="A331">
        <v>4</v>
      </c>
      <c r="B331" t="s">
        <v>13</v>
      </c>
      <c r="C331" t="s">
        <v>130</v>
      </c>
      <c r="D331">
        <v>1</v>
      </c>
      <c r="E331">
        <v>1</v>
      </c>
    </row>
    <row r="332" spans="1:5" x14ac:dyDescent="0.2">
      <c r="A332">
        <v>10</v>
      </c>
      <c r="B332" t="s">
        <v>4</v>
      </c>
      <c r="C332" t="s">
        <v>194</v>
      </c>
      <c r="D332">
        <v>1</v>
      </c>
      <c r="E332">
        <v>0</v>
      </c>
    </row>
    <row r="333" spans="1:5" x14ac:dyDescent="0.2">
      <c r="A333">
        <v>40</v>
      </c>
      <c r="B333" t="s">
        <v>31</v>
      </c>
      <c r="C333" t="s">
        <v>189</v>
      </c>
      <c r="D333">
        <v>1</v>
      </c>
      <c r="E333">
        <v>1</v>
      </c>
    </row>
    <row r="334" spans="1:5" x14ac:dyDescent="0.2">
      <c r="A334">
        <v>20</v>
      </c>
      <c r="B334" t="s">
        <v>22</v>
      </c>
      <c r="C334" t="s">
        <v>50</v>
      </c>
      <c r="D334">
        <v>1</v>
      </c>
      <c r="E334">
        <v>0</v>
      </c>
    </row>
    <row r="335" spans="1:5" x14ac:dyDescent="0.2">
      <c r="A335">
        <v>4</v>
      </c>
      <c r="B335" t="s">
        <v>13</v>
      </c>
      <c r="C335" t="s">
        <v>223</v>
      </c>
      <c r="D335">
        <v>0</v>
      </c>
      <c r="E335">
        <v>1</v>
      </c>
    </row>
    <row r="336" spans="1:5" x14ac:dyDescent="0.2">
      <c r="A336">
        <v>70</v>
      </c>
      <c r="B336" t="s">
        <v>16</v>
      </c>
      <c r="C336" t="s">
        <v>224</v>
      </c>
      <c r="D336">
        <v>1</v>
      </c>
      <c r="E336">
        <v>0</v>
      </c>
    </row>
    <row r="337" spans="1:5" x14ac:dyDescent="0.2">
      <c r="A337">
        <v>40</v>
      </c>
      <c r="B337" t="s">
        <v>20</v>
      </c>
      <c r="C337" t="s">
        <v>104</v>
      </c>
      <c r="D337">
        <v>1</v>
      </c>
      <c r="E337">
        <v>1</v>
      </c>
    </row>
    <row r="338" spans="1:5" x14ac:dyDescent="0.2">
      <c r="A338">
        <v>10</v>
      </c>
      <c r="B338" t="s">
        <v>31</v>
      </c>
      <c r="C338" t="s">
        <v>217</v>
      </c>
      <c r="D338">
        <v>1</v>
      </c>
      <c r="E338">
        <v>1</v>
      </c>
    </row>
    <row r="339" spans="1:5" x14ac:dyDescent="0.2">
      <c r="A339">
        <v>70</v>
      </c>
      <c r="B339" t="s">
        <v>24</v>
      </c>
      <c r="C339" t="s">
        <v>127</v>
      </c>
      <c r="D339">
        <v>1</v>
      </c>
      <c r="E339">
        <v>1</v>
      </c>
    </row>
    <row r="340" spans="1:5" x14ac:dyDescent="0.2">
      <c r="A340">
        <v>10</v>
      </c>
      <c r="B340" t="s">
        <v>20</v>
      </c>
      <c r="C340" t="s">
        <v>97</v>
      </c>
      <c r="D340">
        <v>0</v>
      </c>
      <c r="E340">
        <v>1</v>
      </c>
    </row>
    <row r="341" spans="1:5" x14ac:dyDescent="0.2">
      <c r="A341">
        <v>40</v>
      </c>
      <c r="B341" t="s">
        <v>13</v>
      </c>
      <c r="C341" t="s">
        <v>150</v>
      </c>
      <c r="D341">
        <v>1</v>
      </c>
      <c r="E341">
        <v>1</v>
      </c>
    </row>
    <row r="342" spans="1:5" x14ac:dyDescent="0.2">
      <c r="A342">
        <v>20</v>
      </c>
      <c r="B342" t="s">
        <v>6</v>
      </c>
      <c r="C342" t="s">
        <v>95</v>
      </c>
      <c r="D342">
        <v>0</v>
      </c>
      <c r="E342">
        <v>0</v>
      </c>
    </row>
    <row r="343" spans="1:5" x14ac:dyDescent="0.2">
      <c r="A343">
        <v>20</v>
      </c>
      <c r="B343" t="s">
        <v>31</v>
      </c>
      <c r="C343" t="s">
        <v>45</v>
      </c>
      <c r="D343">
        <v>0</v>
      </c>
      <c r="E343">
        <v>1</v>
      </c>
    </row>
    <row r="344" spans="1:5" x14ac:dyDescent="0.2">
      <c r="A344">
        <v>40</v>
      </c>
      <c r="B344" t="s">
        <v>18</v>
      </c>
      <c r="C344" t="s">
        <v>70</v>
      </c>
      <c r="D344">
        <v>0</v>
      </c>
      <c r="E344">
        <v>1</v>
      </c>
    </row>
    <row r="345" spans="1:5" x14ac:dyDescent="0.2">
      <c r="A345">
        <v>20</v>
      </c>
      <c r="B345" t="s">
        <v>4</v>
      </c>
      <c r="C345" t="s">
        <v>225</v>
      </c>
      <c r="D345">
        <v>1</v>
      </c>
      <c r="E345">
        <v>1</v>
      </c>
    </row>
    <row r="346" spans="1:5" x14ac:dyDescent="0.2">
      <c r="A346">
        <v>4</v>
      </c>
      <c r="B346" t="s">
        <v>20</v>
      </c>
      <c r="C346" t="s">
        <v>58</v>
      </c>
      <c r="D346">
        <v>1</v>
      </c>
      <c r="E346">
        <v>0</v>
      </c>
    </row>
    <row r="347" spans="1:5" x14ac:dyDescent="0.2">
      <c r="A347">
        <v>10</v>
      </c>
      <c r="B347" t="s">
        <v>0</v>
      </c>
      <c r="C347" t="s">
        <v>226</v>
      </c>
      <c r="D347">
        <v>0</v>
      </c>
      <c r="E347">
        <v>0</v>
      </c>
    </row>
    <row r="348" spans="1:5" x14ac:dyDescent="0.2">
      <c r="A348">
        <v>10</v>
      </c>
      <c r="B348" t="s">
        <v>2</v>
      </c>
      <c r="C348" t="s">
        <v>3</v>
      </c>
      <c r="D348">
        <v>1</v>
      </c>
      <c r="E348">
        <v>0</v>
      </c>
    </row>
    <row r="349" spans="1:5" x14ac:dyDescent="0.2">
      <c r="A349">
        <v>20</v>
      </c>
      <c r="B349" t="s">
        <v>16</v>
      </c>
      <c r="C349" t="s">
        <v>227</v>
      </c>
      <c r="D349">
        <v>0</v>
      </c>
      <c r="E349">
        <v>0</v>
      </c>
    </row>
    <row r="350" spans="1:5" x14ac:dyDescent="0.2">
      <c r="A350">
        <v>70</v>
      </c>
      <c r="B350" t="s">
        <v>11</v>
      </c>
      <c r="C350" t="s">
        <v>91</v>
      </c>
      <c r="D350">
        <v>0</v>
      </c>
      <c r="E350">
        <v>1</v>
      </c>
    </row>
    <row r="351" spans="1:5" x14ac:dyDescent="0.2">
      <c r="A351">
        <v>4</v>
      </c>
      <c r="B351" t="s">
        <v>26</v>
      </c>
      <c r="C351" t="s">
        <v>228</v>
      </c>
      <c r="D351">
        <v>0</v>
      </c>
      <c r="E351">
        <v>0</v>
      </c>
    </row>
    <row r="352" spans="1:5" x14ac:dyDescent="0.2">
      <c r="A352">
        <v>20</v>
      </c>
      <c r="B352" t="s">
        <v>18</v>
      </c>
      <c r="C352" t="s">
        <v>153</v>
      </c>
      <c r="D352">
        <v>1</v>
      </c>
      <c r="E352">
        <v>1</v>
      </c>
    </row>
    <row r="353" spans="1:5" x14ac:dyDescent="0.2">
      <c r="A353">
        <v>20</v>
      </c>
      <c r="B353" t="s">
        <v>2</v>
      </c>
      <c r="C353" t="s">
        <v>229</v>
      </c>
      <c r="D353">
        <v>1</v>
      </c>
      <c r="E353">
        <v>1</v>
      </c>
    </row>
    <row r="354" spans="1:5" x14ac:dyDescent="0.2">
      <c r="A354">
        <v>40</v>
      </c>
      <c r="B354" t="s">
        <v>18</v>
      </c>
      <c r="C354" t="s">
        <v>157</v>
      </c>
      <c r="D354">
        <v>0</v>
      </c>
      <c r="E354">
        <v>0</v>
      </c>
    </row>
    <row r="355" spans="1:5" x14ac:dyDescent="0.2">
      <c r="A355">
        <v>20</v>
      </c>
      <c r="B355" t="s">
        <v>20</v>
      </c>
      <c r="C355" t="s">
        <v>197</v>
      </c>
      <c r="D355">
        <v>0</v>
      </c>
      <c r="E355">
        <v>0</v>
      </c>
    </row>
    <row r="356" spans="1:5" x14ac:dyDescent="0.2">
      <c r="A356">
        <v>20</v>
      </c>
      <c r="B356" t="s">
        <v>20</v>
      </c>
      <c r="C356" t="s">
        <v>192</v>
      </c>
      <c r="D356">
        <v>1</v>
      </c>
      <c r="E356">
        <v>1</v>
      </c>
    </row>
    <row r="357" spans="1:5" x14ac:dyDescent="0.2">
      <c r="A357">
        <v>40</v>
      </c>
      <c r="B357" t="s">
        <v>31</v>
      </c>
      <c r="C357" t="s">
        <v>166</v>
      </c>
      <c r="D357">
        <v>1</v>
      </c>
      <c r="E357">
        <v>0</v>
      </c>
    </row>
    <row r="358" spans="1:5" x14ac:dyDescent="0.2">
      <c r="A358">
        <v>10</v>
      </c>
      <c r="B358" t="s">
        <v>24</v>
      </c>
      <c r="C358" t="s">
        <v>109</v>
      </c>
      <c r="D358">
        <v>0</v>
      </c>
      <c r="E358">
        <v>0</v>
      </c>
    </row>
    <row r="359" spans="1:5" x14ac:dyDescent="0.2">
      <c r="A359">
        <v>40</v>
      </c>
      <c r="B359" t="s">
        <v>8</v>
      </c>
      <c r="C359" t="s">
        <v>9</v>
      </c>
      <c r="D359">
        <v>0</v>
      </c>
      <c r="E359">
        <v>0</v>
      </c>
    </row>
    <row r="360" spans="1:5" x14ac:dyDescent="0.2">
      <c r="A360">
        <v>4</v>
      </c>
      <c r="B360" t="s">
        <v>2</v>
      </c>
      <c r="C360" t="s">
        <v>54</v>
      </c>
      <c r="D360">
        <v>1</v>
      </c>
      <c r="E360">
        <v>0</v>
      </c>
    </row>
    <row r="361" spans="1:5" x14ac:dyDescent="0.2">
      <c r="A361">
        <v>40</v>
      </c>
      <c r="B361" t="s">
        <v>26</v>
      </c>
      <c r="C361" t="s">
        <v>149</v>
      </c>
      <c r="D361">
        <v>0</v>
      </c>
      <c r="E361">
        <v>0</v>
      </c>
    </row>
    <row r="362" spans="1:5" x14ac:dyDescent="0.2">
      <c r="A362">
        <v>40</v>
      </c>
      <c r="B362" t="s">
        <v>0</v>
      </c>
      <c r="C362" t="s">
        <v>15</v>
      </c>
      <c r="D362">
        <v>0</v>
      </c>
      <c r="E362">
        <v>0</v>
      </c>
    </row>
    <row r="363" spans="1:5" x14ac:dyDescent="0.2">
      <c r="A363">
        <v>10</v>
      </c>
      <c r="B363" t="s">
        <v>8</v>
      </c>
      <c r="C363" t="s">
        <v>211</v>
      </c>
      <c r="D363">
        <v>1</v>
      </c>
      <c r="E363">
        <v>1</v>
      </c>
    </row>
    <row r="364" spans="1:5" x14ac:dyDescent="0.2">
      <c r="A364">
        <v>10</v>
      </c>
      <c r="B364" t="s">
        <v>6</v>
      </c>
      <c r="C364" t="s">
        <v>106</v>
      </c>
      <c r="D364">
        <v>0</v>
      </c>
      <c r="E364">
        <v>1</v>
      </c>
    </row>
    <row r="365" spans="1:5" x14ac:dyDescent="0.2">
      <c r="A365">
        <v>40</v>
      </c>
      <c r="B365" t="s">
        <v>24</v>
      </c>
      <c r="C365" t="s">
        <v>63</v>
      </c>
      <c r="D365">
        <v>0</v>
      </c>
      <c r="E365">
        <v>0</v>
      </c>
    </row>
    <row r="366" spans="1:5" x14ac:dyDescent="0.2">
      <c r="A366">
        <v>70</v>
      </c>
      <c r="B366" t="s">
        <v>28</v>
      </c>
      <c r="C366" t="s">
        <v>66</v>
      </c>
      <c r="D366">
        <v>0</v>
      </c>
      <c r="E366">
        <v>1</v>
      </c>
    </row>
    <row r="367" spans="1:5" x14ac:dyDescent="0.2">
      <c r="A367">
        <v>70</v>
      </c>
      <c r="B367" t="s">
        <v>13</v>
      </c>
      <c r="C367" t="s">
        <v>140</v>
      </c>
      <c r="D367">
        <v>1</v>
      </c>
      <c r="E367">
        <v>1</v>
      </c>
    </row>
    <row r="368" spans="1:5" x14ac:dyDescent="0.2">
      <c r="A368">
        <v>70</v>
      </c>
      <c r="B368" t="s">
        <v>31</v>
      </c>
      <c r="C368" t="s">
        <v>230</v>
      </c>
      <c r="D368">
        <v>0</v>
      </c>
      <c r="E368">
        <v>0</v>
      </c>
    </row>
    <row r="369" spans="1:5" x14ac:dyDescent="0.2">
      <c r="A369">
        <v>4</v>
      </c>
      <c r="B369" t="s">
        <v>0</v>
      </c>
      <c r="C369" t="s">
        <v>231</v>
      </c>
      <c r="D369">
        <v>1</v>
      </c>
      <c r="E369">
        <v>1</v>
      </c>
    </row>
    <row r="370" spans="1:5" x14ac:dyDescent="0.2">
      <c r="A370">
        <v>70</v>
      </c>
      <c r="B370" t="s">
        <v>18</v>
      </c>
      <c r="C370" t="s">
        <v>147</v>
      </c>
      <c r="D370">
        <v>0</v>
      </c>
      <c r="E370">
        <v>1</v>
      </c>
    </row>
    <row r="371" spans="1:5" x14ac:dyDescent="0.2">
      <c r="A371">
        <v>20</v>
      </c>
      <c r="B371" t="s">
        <v>16</v>
      </c>
      <c r="C371" t="s">
        <v>227</v>
      </c>
      <c r="D371">
        <v>1</v>
      </c>
      <c r="E371">
        <v>1</v>
      </c>
    </row>
    <row r="372" spans="1:5" x14ac:dyDescent="0.2">
      <c r="A372">
        <v>4</v>
      </c>
      <c r="B372" t="s">
        <v>31</v>
      </c>
      <c r="C372" t="s">
        <v>116</v>
      </c>
      <c r="D372">
        <v>1</v>
      </c>
      <c r="E372">
        <v>1</v>
      </c>
    </row>
    <row r="373" spans="1:5" x14ac:dyDescent="0.2">
      <c r="A373">
        <v>20</v>
      </c>
      <c r="B373" t="s">
        <v>8</v>
      </c>
      <c r="C373" t="s">
        <v>78</v>
      </c>
      <c r="D373">
        <v>0</v>
      </c>
      <c r="E373">
        <v>1</v>
      </c>
    </row>
    <row r="374" spans="1:5" x14ac:dyDescent="0.2">
      <c r="A374">
        <v>10</v>
      </c>
      <c r="B374" t="s">
        <v>16</v>
      </c>
      <c r="C374" t="s">
        <v>142</v>
      </c>
      <c r="D374">
        <v>0</v>
      </c>
      <c r="E374">
        <v>0</v>
      </c>
    </row>
    <row r="375" spans="1:5" x14ac:dyDescent="0.2">
      <c r="A375">
        <v>40</v>
      </c>
      <c r="B375" t="s">
        <v>11</v>
      </c>
      <c r="C375" t="s">
        <v>148</v>
      </c>
      <c r="D375">
        <v>0</v>
      </c>
      <c r="E375">
        <v>0</v>
      </c>
    </row>
    <row r="376" spans="1:5" x14ac:dyDescent="0.2">
      <c r="A376">
        <v>10</v>
      </c>
      <c r="B376" t="s">
        <v>2</v>
      </c>
      <c r="C376" t="s">
        <v>122</v>
      </c>
      <c r="D376">
        <v>0</v>
      </c>
      <c r="E376">
        <v>1</v>
      </c>
    </row>
    <row r="377" spans="1:5" x14ac:dyDescent="0.2">
      <c r="A377">
        <v>20</v>
      </c>
      <c r="B377" t="s">
        <v>16</v>
      </c>
      <c r="C377" t="s">
        <v>232</v>
      </c>
      <c r="D377">
        <v>0</v>
      </c>
      <c r="E377">
        <v>0</v>
      </c>
    </row>
    <row r="378" spans="1:5" x14ac:dyDescent="0.2">
      <c r="A378">
        <v>10</v>
      </c>
      <c r="B378" t="s">
        <v>0</v>
      </c>
      <c r="C378" t="s">
        <v>226</v>
      </c>
      <c r="D378">
        <v>1</v>
      </c>
      <c r="E378">
        <v>1</v>
      </c>
    </row>
    <row r="379" spans="1:5" x14ac:dyDescent="0.2">
      <c r="A379">
        <v>4</v>
      </c>
      <c r="B379" t="s">
        <v>28</v>
      </c>
      <c r="C379" t="s">
        <v>103</v>
      </c>
      <c r="D379">
        <v>0</v>
      </c>
      <c r="E379">
        <v>0</v>
      </c>
    </row>
    <row r="380" spans="1:5" x14ac:dyDescent="0.2">
      <c r="A380">
        <v>20</v>
      </c>
      <c r="B380" t="s">
        <v>20</v>
      </c>
      <c r="C380" t="s">
        <v>208</v>
      </c>
      <c r="D380">
        <v>1</v>
      </c>
      <c r="E380">
        <v>1</v>
      </c>
    </row>
    <row r="381" spans="1:5" x14ac:dyDescent="0.2">
      <c r="A381">
        <v>4</v>
      </c>
      <c r="B381" t="s">
        <v>28</v>
      </c>
      <c r="C381" t="s">
        <v>233</v>
      </c>
      <c r="D381">
        <v>1</v>
      </c>
      <c r="E381">
        <v>1</v>
      </c>
    </row>
    <row r="382" spans="1:5" x14ac:dyDescent="0.2">
      <c r="A382">
        <v>40</v>
      </c>
      <c r="B382" t="s">
        <v>2</v>
      </c>
      <c r="C382" t="s">
        <v>219</v>
      </c>
      <c r="D382">
        <v>0</v>
      </c>
      <c r="E382">
        <v>1</v>
      </c>
    </row>
    <row r="383" spans="1:5" x14ac:dyDescent="0.2">
      <c r="A383">
        <v>4</v>
      </c>
      <c r="B383" t="s">
        <v>24</v>
      </c>
      <c r="C383" t="s">
        <v>37</v>
      </c>
      <c r="D383">
        <v>1</v>
      </c>
      <c r="E383">
        <v>1</v>
      </c>
    </row>
    <row r="384" spans="1:5" x14ac:dyDescent="0.2">
      <c r="A384">
        <v>20</v>
      </c>
      <c r="B384" t="s">
        <v>8</v>
      </c>
      <c r="C384" t="s">
        <v>112</v>
      </c>
      <c r="D384">
        <v>1</v>
      </c>
      <c r="E384">
        <v>1</v>
      </c>
    </row>
    <row r="385" spans="1:5" x14ac:dyDescent="0.2">
      <c r="A385">
        <v>4</v>
      </c>
      <c r="B385" t="s">
        <v>6</v>
      </c>
      <c r="C385" t="s">
        <v>202</v>
      </c>
      <c r="D385">
        <v>0</v>
      </c>
      <c r="E385">
        <v>0</v>
      </c>
    </row>
    <row r="386" spans="1:5" x14ac:dyDescent="0.2">
      <c r="A386">
        <v>70</v>
      </c>
      <c r="B386" t="s">
        <v>16</v>
      </c>
      <c r="C386" t="s">
        <v>224</v>
      </c>
      <c r="D386">
        <v>0</v>
      </c>
      <c r="E386">
        <v>0</v>
      </c>
    </row>
    <row r="387" spans="1:5" x14ac:dyDescent="0.2">
      <c r="A387">
        <v>40</v>
      </c>
      <c r="B387" t="s">
        <v>22</v>
      </c>
      <c r="C387" t="s">
        <v>158</v>
      </c>
      <c r="D387">
        <v>0</v>
      </c>
      <c r="E387">
        <v>1</v>
      </c>
    </row>
    <row r="388" spans="1:5" x14ac:dyDescent="0.2">
      <c r="A388">
        <v>4</v>
      </c>
      <c r="B388" t="s">
        <v>26</v>
      </c>
      <c r="C388" t="s">
        <v>228</v>
      </c>
      <c r="D388">
        <v>1</v>
      </c>
      <c r="E388">
        <v>1</v>
      </c>
    </row>
    <row r="389" spans="1:5" x14ac:dyDescent="0.2">
      <c r="A389">
        <v>4</v>
      </c>
      <c r="B389" t="s">
        <v>0</v>
      </c>
      <c r="C389" t="s">
        <v>231</v>
      </c>
      <c r="D389">
        <v>0</v>
      </c>
      <c r="E389">
        <v>0</v>
      </c>
    </row>
    <row r="390" spans="1:5" x14ac:dyDescent="0.2">
      <c r="A390">
        <v>40</v>
      </c>
      <c r="B390" t="s">
        <v>6</v>
      </c>
      <c r="C390" t="s">
        <v>114</v>
      </c>
      <c r="D390">
        <v>1</v>
      </c>
      <c r="E390">
        <v>0</v>
      </c>
    </row>
    <row r="391" spans="1:5" x14ac:dyDescent="0.2">
      <c r="A391">
        <v>40</v>
      </c>
      <c r="B391" t="s">
        <v>13</v>
      </c>
      <c r="C391" t="s">
        <v>218</v>
      </c>
      <c r="D391">
        <v>1</v>
      </c>
      <c r="E391">
        <v>1</v>
      </c>
    </row>
    <row r="392" spans="1:5" x14ac:dyDescent="0.2">
      <c r="A392">
        <v>4</v>
      </c>
      <c r="B392" t="s">
        <v>11</v>
      </c>
      <c r="C392" t="s">
        <v>177</v>
      </c>
      <c r="D392">
        <v>1</v>
      </c>
      <c r="E392">
        <v>0</v>
      </c>
    </row>
    <row r="393" spans="1:5" x14ac:dyDescent="0.2">
      <c r="A393">
        <v>20</v>
      </c>
      <c r="B393" t="s">
        <v>26</v>
      </c>
      <c r="C393" t="s">
        <v>206</v>
      </c>
      <c r="D393">
        <v>0</v>
      </c>
      <c r="E393">
        <v>0</v>
      </c>
    </row>
    <row r="394" spans="1:5" x14ac:dyDescent="0.2">
      <c r="A394">
        <v>70</v>
      </c>
      <c r="B394" t="s">
        <v>2</v>
      </c>
      <c r="C394" t="s">
        <v>196</v>
      </c>
      <c r="D394">
        <v>0</v>
      </c>
      <c r="E394">
        <v>0</v>
      </c>
    </row>
    <row r="395" spans="1:5" x14ac:dyDescent="0.2">
      <c r="A395">
        <v>4</v>
      </c>
      <c r="B395" t="s">
        <v>2</v>
      </c>
      <c r="C395" t="s">
        <v>234</v>
      </c>
      <c r="D395">
        <v>1</v>
      </c>
      <c r="E395">
        <v>1</v>
      </c>
    </row>
    <row r="396" spans="1:5" x14ac:dyDescent="0.2">
      <c r="A396">
        <v>40</v>
      </c>
      <c r="B396" t="s">
        <v>8</v>
      </c>
      <c r="C396" t="s">
        <v>201</v>
      </c>
      <c r="D396">
        <v>0</v>
      </c>
      <c r="E396">
        <v>1</v>
      </c>
    </row>
    <row r="397" spans="1:5" x14ac:dyDescent="0.2">
      <c r="A397">
        <v>4</v>
      </c>
      <c r="B397" t="s">
        <v>0</v>
      </c>
      <c r="C397" t="s">
        <v>215</v>
      </c>
      <c r="D397">
        <v>0</v>
      </c>
      <c r="E397">
        <v>1</v>
      </c>
    </row>
    <row r="398" spans="1:5" x14ac:dyDescent="0.2">
      <c r="A398">
        <v>20</v>
      </c>
      <c r="B398" t="s">
        <v>22</v>
      </c>
      <c r="C398" t="s">
        <v>168</v>
      </c>
      <c r="D398">
        <v>1</v>
      </c>
      <c r="E398">
        <v>0</v>
      </c>
    </row>
    <row r="399" spans="1:5" x14ac:dyDescent="0.2">
      <c r="A399">
        <v>20</v>
      </c>
      <c r="B399" t="s">
        <v>0</v>
      </c>
      <c r="C399" t="s">
        <v>86</v>
      </c>
      <c r="D399">
        <v>0</v>
      </c>
      <c r="E399">
        <v>0</v>
      </c>
    </row>
    <row r="400" spans="1:5" x14ac:dyDescent="0.2">
      <c r="A400">
        <v>70</v>
      </c>
      <c r="B400" t="s">
        <v>28</v>
      </c>
      <c r="C400" t="s">
        <v>193</v>
      </c>
      <c r="D400">
        <v>1</v>
      </c>
      <c r="E400">
        <v>0</v>
      </c>
    </row>
    <row r="401" spans="1:5" x14ac:dyDescent="0.2">
      <c r="A401">
        <v>40</v>
      </c>
      <c r="B401" t="s">
        <v>4</v>
      </c>
      <c r="C401" t="s">
        <v>44</v>
      </c>
      <c r="D401">
        <v>1</v>
      </c>
      <c r="E401">
        <v>1</v>
      </c>
    </row>
    <row r="402" spans="1:5" x14ac:dyDescent="0.2">
      <c r="A402">
        <v>20</v>
      </c>
      <c r="B402" t="s">
        <v>28</v>
      </c>
      <c r="C402" t="s">
        <v>210</v>
      </c>
      <c r="D402">
        <v>0</v>
      </c>
      <c r="E402">
        <v>0</v>
      </c>
    </row>
    <row r="403" spans="1:5" x14ac:dyDescent="0.2">
      <c r="A403">
        <v>70</v>
      </c>
      <c r="B403" t="s">
        <v>4</v>
      </c>
      <c r="C403" t="s">
        <v>141</v>
      </c>
      <c r="D403">
        <v>1</v>
      </c>
      <c r="E403">
        <v>1</v>
      </c>
    </row>
    <row r="404" spans="1:5" x14ac:dyDescent="0.2">
      <c r="A404">
        <v>70</v>
      </c>
      <c r="B404" t="s">
        <v>16</v>
      </c>
      <c r="C404" t="s">
        <v>143</v>
      </c>
      <c r="D404">
        <v>0</v>
      </c>
      <c r="E404">
        <v>1</v>
      </c>
    </row>
    <row r="405" spans="1:5" x14ac:dyDescent="0.2">
      <c r="A405">
        <v>40</v>
      </c>
      <c r="B405" t="s">
        <v>24</v>
      </c>
      <c r="C405" t="s">
        <v>205</v>
      </c>
      <c r="D405">
        <v>1</v>
      </c>
      <c r="E405">
        <v>1</v>
      </c>
    </row>
    <row r="406" spans="1:5" x14ac:dyDescent="0.2">
      <c r="A406">
        <v>10</v>
      </c>
      <c r="B406" t="s">
        <v>6</v>
      </c>
      <c r="C406" t="s">
        <v>203</v>
      </c>
      <c r="D406">
        <v>0</v>
      </c>
      <c r="E406">
        <v>0</v>
      </c>
    </row>
    <row r="407" spans="1:5" x14ac:dyDescent="0.2">
      <c r="A407">
        <v>20</v>
      </c>
      <c r="B407" t="s">
        <v>13</v>
      </c>
      <c r="C407" t="s">
        <v>235</v>
      </c>
      <c r="D407">
        <v>0</v>
      </c>
      <c r="E407">
        <v>0</v>
      </c>
    </row>
    <row r="408" spans="1:5" x14ac:dyDescent="0.2">
      <c r="A408">
        <v>70</v>
      </c>
      <c r="B408" t="s">
        <v>18</v>
      </c>
      <c r="C408" t="s">
        <v>198</v>
      </c>
      <c r="D408">
        <v>1</v>
      </c>
      <c r="E408">
        <v>1</v>
      </c>
    </row>
    <row r="409" spans="1:5" x14ac:dyDescent="0.2">
      <c r="A409">
        <v>20</v>
      </c>
      <c r="B409" t="s">
        <v>6</v>
      </c>
      <c r="C409" t="s">
        <v>200</v>
      </c>
      <c r="D409">
        <v>0</v>
      </c>
      <c r="E409">
        <v>0</v>
      </c>
    </row>
    <row r="410" spans="1:5" x14ac:dyDescent="0.2">
      <c r="A410">
        <v>4</v>
      </c>
      <c r="B410" t="s">
        <v>4</v>
      </c>
      <c r="C410" t="s">
        <v>115</v>
      </c>
      <c r="D410">
        <v>0</v>
      </c>
      <c r="E410">
        <v>0</v>
      </c>
    </row>
    <row r="411" spans="1:5" x14ac:dyDescent="0.2">
      <c r="A411">
        <v>10</v>
      </c>
      <c r="B411" t="s">
        <v>16</v>
      </c>
      <c r="C411" t="s">
        <v>164</v>
      </c>
      <c r="D411">
        <v>0</v>
      </c>
      <c r="E411">
        <v>0</v>
      </c>
    </row>
    <row r="412" spans="1:5" x14ac:dyDescent="0.2">
      <c r="A412">
        <v>4</v>
      </c>
      <c r="B412" t="s">
        <v>20</v>
      </c>
      <c r="C412" t="s">
        <v>184</v>
      </c>
      <c r="D412">
        <v>0</v>
      </c>
      <c r="E412">
        <v>0</v>
      </c>
    </row>
    <row r="413" spans="1:5" x14ac:dyDescent="0.2">
      <c r="A413">
        <v>70</v>
      </c>
      <c r="B413" t="s">
        <v>31</v>
      </c>
      <c r="C413" t="s">
        <v>236</v>
      </c>
      <c r="D413">
        <v>1</v>
      </c>
      <c r="E413">
        <v>0</v>
      </c>
    </row>
    <row r="414" spans="1:5" x14ac:dyDescent="0.2">
      <c r="A414">
        <v>70</v>
      </c>
      <c r="B414" t="s">
        <v>2</v>
      </c>
      <c r="C414" t="s">
        <v>77</v>
      </c>
      <c r="D414">
        <v>1</v>
      </c>
      <c r="E414">
        <v>1</v>
      </c>
    </row>
    <row r="415" spans="1:5" x14ac:dyDescent="0.2">
      <c r="A415">
        <v>4</v>
      </c>
      <c r="B415" t="s">
        <v>4</v>
      </c>
      <c r="C415" t="s">
        <v>176</v>
      </c>
      <c r="D415">
        <v>0</v>
      </c>
      <c r="E415">
        <v>0</v>
      </c>
    </row>
    <row r="416" spans="1:5" x14ac:dyDescent="0.2">
      <c r="A416">
        <v>20</v>
      </c>
      <c r="B416" t="s">
        <v>0</v>
      </c>
      <c r="C416" t="s">
        <v>156</v>
      </c>
      <c r="D416">
        <v>1</v>
      </c>
      <c r="E416">
        <v>0</v>
      </c>
    </row>
    <row r="417" spans="1:5" x14ac:dyDescent="0.2">
      <c r="A417">
        <v>20</v>
      </c>
      <c r="B417" t="s">
        <v>18</v>
      </c>
      <c r="C417" t="s">
        <v>47</v>
      </c>
      <c r="D417">
        <v>0</v>
      </c>
      <c r="E417">
        <v>0</v>
      </c>
    </row>
    <row r="418" spans="1:5" x14ac:dyDescent="0.2">
      <c r="A418">
        <v>20</v>
      </c>
      <c r="B418" t="s">
        <v>8</v>
      </c>
      <c r="C418" t="s">
        <v>138</v>
      </c>
      <c r="D418">
        <v>1</v>
      </c>
      <c r="E418">
        <v>1</v>
      </c>
    </row>
    <row r="419" spans="1:5" x14ac:dyDescent="0.2">
      <c r="A419">
        <v>4</v>
      </c>
      <c r="B419" t="s">
        <v>20</v>
      </c>
      <c r="C419" t="s">
        <v>92</v>
      </c>
      <c r="D419">
        <v>0</v>
      </c>
      <c r="E419">
        <v>0</v>
      </c>
    </row>
    <row r="420" spans="1:5" x14ac:dyDescent="0.2">
      <c r="A420">
        <v>4</v>
      </c>
      <c r="B420" t="s">
        <v>6</v>
      </c>
      <c r="C420" t="s">
        <v>173</v>
      </c>
      <c r="D420">
        <v>1</v>
      </c>
      <c r="E420">
        <v>1</v>
      </c>
    </row>
    <row r="421" spans="1:5" x14ac:dyDescent="0.2">
      <c r="A421">
        <v>10</v>
      </c>
      <c r="B421" t="s">
        <v>22</v>
      </c>
      <c r="C421" t="s">
        <v>113</v>
      </c>
      <c r="D421">
        <v>1</v>
      </c>
      <c r="E421">
        <v>0</v>
      </c>
    </row>
    <row r="422" spans="1:5" x14ac:dyDescent="0.2">
      <c r="A422">
        <v>40</v>
      </c>
      <c r="B422" t="s">
        <v>11</v>
      </c>
      <c r="C422" t="s">
        <v>190</v>
      </c>
      <c r="D422">
        <v>0</v>
      </c>
      <c r="E422">
        <v>0</v>
      </c>
    </row>
    <row r="423" spans="1:5" x14ac:dyDescent="0.2">
      <c r="A423">
        <v>10</v>
      </c>
      <c r="B423" t="s">
        <v>4</v>
      </c>
      <c r="C423" t="s">
        <v>160</v>
      </c>
      <c r="D423">
        <v>0</v>
      </c>
      <c r="E423">
        <v>0</v>
      </c>
    </row>
    <row r="424" spans="1:5" x14ac:dyDescent="0.2">
      <c r="A424">
        <v>40</v>
      </c>
      <c r="B424" t="s">
        <v>13</v>
      </c>
      <c r="C424" t="s">
        <v>216</v>
      </c>
      <c r="D424">
        <v>1</v>
      </c>
      <c r="E424">
        <v>1</v>
      </c>
    </row>
    <row r="425" spans="1:5" x14ac:dyDescent="0.2">
      <c r="A425">
        <v>20</v>
      </c>
      <c r="B425" t="s">
        <v>13</v>
      </c>
      <c r="C425" t="s">
        <v>235</v>
      </c>
      <c r="D425">
        <v>1</v>
      </c>
      <c r="E425">
        <v>1</v>
      </c>
    </row>
    <row r="426" spans="1:5" x14ac:dyDescent="0.2">
      <c r="A426">
        <v>10</v>
      </c>
      <c r="B426" t="s">
        <v>28</v>
      </c>
      <c r="C426" t="s">
        <v>237</v>
      </c>
      <c r="D426">
        <v>1</v>
      </c>
      <c r="E426">
        <v>1</v>
      </c>
    </row>
    <row r="427" spans="1:5" x14ac:dyDescent="0.2">
      <c r="A427">
        <v>10</v>
      </c>
      <c r="B427" t="s">
        <v>0</v>
      </c>
      <c r="C427" t="s">
        <v>220</v>
      </c>
      <c r="D427">
        <v>1</v>
      </c>
      <c r="E427">
        <v>0</v>
      </c>
    </row>
    <row r="428" spans="1:5" x14ac:dyDescent="0.2">
      <c r="A428">
        <v>20</v>
      </c>
      <c r="B428" t="s">
        <v>16</v>
      </c>
      <c r="C428" t="s">
        <v>232</v>
      </c>
      <c r="D428">
        <v>1</v>
      </c>
      <c r="E428">
        <v>0</v>
      </c>
    </row>
    <row r="429" spans="1:5" x14ac:dyDescent="0.2">
      <c r="A429">
        <v>4</v>
      </c>
      <c r="B429" t="s">
        <v>2</v>
      </c>
      <c r="C429" t="s">
        <v>234</v>
      </c>
      <c r="D429">
        <v>0</v>
      </c>
      <c r="E429">
        <v>0</v>
      </c>
    </row>
    <row r="430" spans="1:5" x14ac:dyDescent="0.2">
      <c r="A430">
        <v>4</v>
      </c>
      <c r="B430" t="s">
        <v>11</v>
      </c>
      <c r="C430" t="s">
        <v>68</v>
      </c>
      <c r="D430">
        <v>0</v>
      </c>
      <c r="E430">
        <v>0</v>
      </c>
    </row>
    <row r="431" spans="1:5" x14ac:dyDescent="0.2">
      <c r="A431">
        <v>20</v>
      </c>
      <c r="B431" t="s">
        <v>4</v>
      </c>
      <c r="C431" t="s">
        <v>225</v>
      </c>
      <c r="D431">
        <v>0</v>
      </c>
      <c r="E431">
        <v>0</v>
      </c>
    </row>
    <row r="432" spans="1:5" x14ac:dyDescent="0.2">
      <c r="A432">
        <v>10</v>
      </c>
      <c r="B432" t="s">
        <v>18</v>
      </c>
      <c r="C432" t="s">
        <v>19</v>
      </c>
      <c r="D432">
        <v>0</v>
      </c>
      <c r="E432">
        <v>0</v>
      </c>
    </row>
    <row r="433" spans="1:5" x14ac:dyDescent="0.2">
      <c r="A433">
        <v>70</v>
      </c>
      <c r="B433" t="s">
        <v>31</v>
      </c>
      <c r="C433" t="s">
        <v>236</v>
      </c>
      <c r="D433">
        <v>0</v>
      </c>
      <c r="E433">
        <v>0</v>
      </c>
    </row>
    <row r="434" spans="1:5" x14ac:dyDescent="0.2">
      <c r="A434">
        <v>40</v>
      </c>
      <c r="B434" t="s">
        <v>20</v>
      </c>
      <c r="C434" t="s">
        <v>207</v>
      </c>
      <c r="D434">
        <v>1</v>
      </c>
      <c r="E434">
        <v>1</v>
      </c>
    </row>
    <row r="435" spans="1:5" x14ac:dyDescent="0.2">
      <c r="A435">
        <v>20</v>
      </c>
      <c r="B435" t="s">
        <v>2</v>
      </c>
      <c r="C435" t="s">
        <v>229</v>
      </c>
      <c r="D435">
        <v>0</v>
      </c>
      <c r="E435">
        <v>0</v>
      </c>
    </row>
    <row r="436" spans="1:5" x14ac:dyDescent="0.2">
      <c r="A436">
        <v>4</v>
      </c>
      <c r="B436" t="s">
        <v>6</v>
      </c>
      <c r="C436" t="s">
        <v>238</v>
      </c>
      <c r="D436">
        <v>1</v>
      </c>
      <c r="E436">
        <v>1</v>
      </c>
    </row>
    <row r="437" spans="1:5" x14ac:dyDescent="0.2">
      <c r="A437">
        <v>40</v>
      </c>
      <c r="B437" t="s">
        <v>28</v>
      </c>
      <c r="C437" t="s">
        <v>221</v>
      </c>
      <c r="D437">
        <v>1</v>
      </c>
      <c r="E437">
        <v>1</v>
      </c>
    </row>
    <row r="438" spans="1:5" x14ac:dyDescent="0.2">
      <c r="A438">
        <v>4</v>
      </c>
      <c r="B438" t="s">
        <v>28</v>
      </c>
      <c r="C438" t="s">
        <v>239</v>
      </c>
      <c r="D438">
        <v>1</v>
      </c>
      <c r="E438">
        <v>1</v>
      </c>
    </row>
    <row r="439" spans="1:5" x14ac:dyDescent="0.2">
      <c r="A439">
        <v>4</v>
      </c>
      <c r="B439" t="s">
        <v>6</v>
      </c>
      <c r="C439" t="s">
        <v>238</v>
      </c>
      <c r="D439">
        <v>0</v>
      </c>
      <c r="E439">
        <v>1</v>
      </c>
    </row>
    <row r="440" spans="1:5" x14ac:dyDescent="0.2">
      <c r="A440">
        <v>4</v>
      </c>
      <c r="B440" t="s">
        <v>11</v>
      </c>
      <c r="C440" t="s">
        <v>186</v>
      </c>
      <c r="D440">
        <v>1</v>
      </c>
      <c r="E440">
        <v>0</v>
      </c>
    </row>
    <row r="441" spans="1:5" x14ac:dyDescent="0.2">
      <c r="A441">
        <v>10</v>
      </c>
      <c r="B441" t="s">
        <v>11</v>
      </c>
      <c r="C441" t="s">
        <v>213</v>
      </c>
      <c r="D441">
        <v>1</v>
      </c>
      <c r="E441">
        <v>0</v>
      </c>
    </row>
    <row r="442" spans="1:5" x14ac:dyDescent="0.2">
      <c r="A442">
        <v>4</v>
      </c>
      <c r="B442" t="s">
        <v>28</v>
      </c>
      <c r="C442" t="s">
        <v>233</v>
      </c>
      <c r="D442">
        <v>0</v>
      </c>
      <c r="E442">
        <v>0</v>
      </c>
    </row>
    <row r="443" spans="1:5" x14ac:dyDescent="0.2">
      <c r="A443">
        <v>4</v>
      </c>
      <c r="B443" t="s">
        <v>18</v>
      </c>
      <c r="C443" t="s">
        <v>222</v>
      </c>
      <c r="D443">
        <v>1</v>
      </c>
      <c r="E443">
        <v>1</v>
      </c>
    </row>
    <row r="444" spans="1:5" x14ac:dyDescent="0.2">
      <c r="A444">
        <v>4</v>
      </c>
      <c r="B444" t="s">
        <v>13</v>
      </c>
      <c r="C444" t="s">
        <v>223</v>
      </c>
      <c r="D444">
        <v>1</v>
      </c>
      <c r="E444">
        <v>1</v>
      </c>
    </row>
    <row r="445" spans="1:5" x14ac:dyDescent="0.2">
      <c r="A445">
        <v>4</v>
      </c>
      <c r="B445" t="s">
        <v>28</v>
      </c>
      <c r="C445" t="s">
        <v>239</v>
      </c>
      <c r="D445">
        <v>0</v>
      </c>
      <c r="E445">
        <v>1</v>
      </c>
    </row>
    <row r="446" spans="1:5" x14ac:dyDescent="0.2">
      <c r="A446">
        <v>70</v>
      </c>
      <c r="B446" t="s">
        <v>31</v>
      </c>
      <c r="C446" t="s">
        <v>230</v>
      </c>
      <c r="D446">
        <v>1</v>
      </c>
      <c r="E446">
        <v>0</v>
      </c>
    </row>
    <row r="447" spans="1:5" x14ac:dyDescent="0.2">
      <c r="A447">
        <v>70</v>
      </c>
      <c r="B447" t="s">
        <v>11</v>
      </c>
      <c r="C447" t="s">
        <v>38</v>
      </c>
      <c r="D447">
        <v>0</v>
      </c>
      <c r="E447">
        <v>1</v>
      </c>
    </row>
    <row r="448" spans="1:5" x14ac:dyDescent="0.2">
      <c r="A448">
        <v>20</v>
      </c>
      <c r="B448" t="s">
        <v>11</v>
      </c>
      <c r="C448" t="s">
        <v>117</v>
      </c>
      <c r="D448">
        <v>1</v>
      </c>
      <c r="E448">
        <v>1</v>
      </c>
    </row>
    <row r="449" spans="1:5" x14ac:dyDescent="0.2">
      <c r="A449">
        <v>10</v>
      </c>
      <c r="B449" t="s">
        <v>28</v>
      </c>
      <c r="C449" t="s">
        <v>237</v>
      </c>
      <c r="D449">
        <v>0</v>
      </c>
      <c r="E449">
        <v>0</v>
      </c>
    </row>
    <row r="450" spans="1:5" x14ac:dyDescent="0.2">
      <c r="A450">
        <v>70</v>
      </c>
      <c r="B450" t="s">
        <v>18</v>
      </c>
      <c r="C450" t="s">
        <v>175</v>
      </c>
      <c r="D450">
        <v>0</v>
      </c>
      <c r="E450">
        <v>0</v>
      </c>
    </row>
    <row r="451" spans="1:5" x14ac:dyDescent="0.2">
      <c r="A451">
        <v>70</v>
      </c>
      <c r="B451" t="s">
        <v>26</v>
      </c>
      <c r="C451" t="s">
        <v>98</v>
      </c>
      <c r="D451">
        <v>0</v>
      </c>
      <c r="E451">
        <v>1</v>
      </c>
    </row>
  </sheetData>
  <mergeCells count="2">
    <mergeCell ref="I2:K2"/>
    <mergeCell ref="R2:S2"/>
  </mergeCells>
  <conditionalFormatting sqref="V5:W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test_results2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2023-11-21T14:45:31Z</dcterms:created>
  <dcterms:modified xsi:type="dcterms:W3CDTF">2023-11-21T16:20:55Z</dcterms:modified>
</cp:coreProperties>
</file>