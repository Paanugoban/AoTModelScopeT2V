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1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paank/Documents/diffusion/RaMViD/diffusion_openai/Final Statistics/"/>
    </mc:Choice>
  </mc:AlternateContent>
  <xr:revisionPtr revIDLastSave="0" documentId="13_ncr:40009_{722654A0-2E07-E447-A90D-02B6E863F587}" xr6:coauthVersionLast="47" xr6:coauthVersionMax="47" xr10:uidLastSave="{00000000-0000-0000-0000-000000000000}"/>
  <bookViews>
    <workbookView xWindow="0" yWindow="760" windowWidth="30240" windowHeight="17780"/>
  </bookViews>
  <sheets>
    <sheet name="predictions2_finetuned" sheetId="1" r:id="rId1"/>
  </sheets>
  <calcPr calcId="0"/>
</workbook>
</file>

<file path=xl/calcChain.xml><?xml version="1.0" encoding="utf-8"?>
<calcChain xmlns="http://schemas.openxmlformats.org/spreadsheetml/2006/main">
  <c r="J92" i="1" l="1"/>
  <c r="J91" i="1"/>
  <c r="I92" i="1"/>
  <c r="I91" i="1"/>
  <c r="J75" i="1"/>
  <c r="J74" i="1"/>
  <c r="I75" i="1"/>
  <c r="I74" i="1"/>
  <c r="J58" i="1"/>
  <c r="J57" i="1"/>
  <c r="I58" i="1"/>
  <c r="I57" i="1"/>
  <c r="J41" i="1"/>
  <c r="J40" i="1"/>
  <c r="I41" i="1"/>
  <c r="I40" i="1"/>
  <c r="J24" i="1"/>
  <c r="J23" i="1"/>
  <c r="I24" i="1"/>
  <c r="I23" i="1"/>
  <c r="N102" i="1" a="1"/>
  <c r="N102" i="1" s="1"/>
  <c r="N83" i="1" a="1"/>
  <c r="N83" i="1" s="1"/>
  <c r="N63" i="1" a="1"/>
  <c r="N63" i="1" s="1"/>
  <c r="N43" i="1" a="1"/>
  <c r="N43" i="1" s="1"/>
  <c r="N24" i="1" a="1"/>
  <c r="N24" i="1" s="1"/>
  <c r="N5" i="1" a="1"/>
  <c r="N5" i="1" s="1"/>
  <c r="J6" i="1"/>
  <c r="J5" i="1"/>
  <c r="I6" i="1"/>
  <c r="I5" i="1"/>
  <c r="R13" i="1"/>
  <c r="O12" i="1"/>
  <c r="O9" i="1"/>
  <c r="O6" i="1"/>
  <c r="I102" i="1" l="1"/>
  <c r="I94" i="1"/>
  <c r="I95" i="1" s="1"/>
  <c r="I97" i="1"/>
  <c r="I98" i="1"/>
  <c r="I101" i="1"/>
  <c r="I103" i="1" s="1"/>
  <c r="I81" i="1"/>
  <c r="I85" i="1"/>
  <c r="I77" i="1"/>
  <c r="I78" i="1" s="1"/>
  <c r="I80" i="1"/>
  <c r="I82" i="1" s="1"/>
  <c r="I84" i="1"/>
  <c r="I86" i="1" s="1"/>
  <c r="I64" i="1"/>
  <c r="I68" i="1"/>
  <c r="I60" i="1"/>
  <c r="I61" i="1" s="1"/>
  <c r="I63" i="1"/>
  <c r="I65" i="1" s="1"/>
  <c r="I67" i="1"/>
  <c r="I69" i="1" s="1"/>
  <c r="I50" i="1"/>
  <c r="I47" i="1"/>
  <c r="I34" i="1"/>
  <c r="I29" i="1"/>
  <c r="I15" i="1"/>
  <c r="I12" i="1"/>
  <c r="I11" i="1"/>
  <c r="I13" i="1" s="1"/>
  <c r="I8" i="1"/>
  <c r="I9" i="1" s="1"/>
  <c r="P55" i="1"/>
  <c r="R53" i="1"/>
  <c r="R50" i="1"/>
  <c r="O49" i="1"/>
  <c r="R47" i="1"/>
  <c r="O46" i="1"/>
  <c r="R44" i="1"/>
  <c r="R56" i="1"/>
  <c r="P53" i="1"/>
  <c r="P50" i="1"/>
  <c r="P47" i="1"/>
  <c r="P44" i="1"/>
  <c r="Q55" i="1"/>
  <c r="T55" i="1" s="1"/>
  <c r="O52" i="1"/>
  <c r="P49" i="1"/>
  <c r="P46" i="1"/>
  <c r="Q56" i="1"/>
  <c r="O53" i="1"/>
  <c r="S53" i="1" s="1"/>
  <c r="R51" i="1"/>
  <c r="O50" i="1"/>
  <c r="S50" i="1" s="1"/>
  <c r="R48" i="1"/>
  <c r="O47" i="1"/>
  <c r="S47" i="1" s="1"/>
  <c r="O44" i="1"/>
  <c r="S44" i="1" s="1"/>
  <c r="P57" i="1"/>
  <c r="P54" i="1"/>
  <c r="R52" i="1"/>
  <c r="O51" i="1"/>
  <c r="S51" i="1" s="1"/>
  <c r="O48" i="1"/>
  <c r="S48" i="1" s="1"/>
  <c r="P45" i="1"/>
  <c r="R19" i="1"/>
  <c r="Q16" i="1"/>
  <c r="Q13" i="1"/>
  <c r="R10" i="1"/>
  <c r="R7" i="1"/>
  <c r="R18" i="1"/>
  <c r="R15" i="1"/>
  <c r="O14" i="1"/>
  <c r="R12" i="1"/>
  <c r="S12" i="1" s="1"/>
  <c r="O11" i="1"/>
  <c r="R9" i="1"/>
  <c r="S9" i="1" s="1"/>
  <c r="O8" i="1"/>
  <c r="R6" i="1"/>
  <c r="Q19" i="1"/>
  <c r="P16" i="1"/>
  <c r="P13" i="1"/>
  <c r="Q10" i="1"/>
  <c r="Q7" i="1"/>
  <c r="T7" i="1" s="1"/>
  <c r="P19" i="1"/>
  <c r="R17" i="1"/>
  <c r="O16" i="1"/>
  <c r="O13" i="1"/>
  <c r="S13" i="1" s="1"/>
  <c r="P10" i="1"/>
  <c r="P7" i="1"/>
  <c r="O19" i="1"/>
  <c r="S19" i="1" s="1"/>
  <c r="Q17" i="1"/>
  <c r="R14" i="1"/>
  <c r="R11" i="1"/>
  <c r="O10" i="1"/>
  <c r="S10" i="1" s="1"/>
  <c r="R8" i="1"/>
  <c r="O7" i="1"/>
  <c r="S7" i="1" s="1"/>
  <c r="R96" i="1"/>
  <c r="R93" i="1"/>
  <c r="P89" i="1"/>
  <c r="R87" i="1"/>
  <c r="R84" i="1"/>
  <c r="Q96" i="1"/>
  <c r="Q93" i="1"/>
  <c r="O89" i="1"/>
  <c r="Q87" i="1"/>
  <c r="Q84" i="1"/>
  <c r="P96" i="1"/>
  <c r="P93" i="1"/>
  <c r="R90" i="1"/>
  <c r="P87" i="1"/>
  <c r="P84" i="1"/>
  <c r="O97" i="1"/>
  <c r="R95" i="1"/>
  <c r="O94" i="1"/>
  <c r="R92" i="1"/>
  <c r="P91" i="1"/>
  <c r="P88" i="1"/>
  <c r="R86" i="1"/>
  <c r="O85" i="1"/>
  <c r="S6" i="1"/>
  <c r="P37" i="1"/>
  <c r="R35" i="1"/>
  <c r="O34" i="1"/>
  <c r="O31" i="1"/>
  <c r="S31" i="1" s="1"/>
  <c r="P28" i="1"/>
  <c r="P25" i="1"/>
  <c r="O37" i="1"/>
  <c r="Q35" i="1"/>
  <c r="R32" i="1"/>
  <c r="R29" i="1"/>
  <c r="O28" i="1"/>
  <c r="R26" i="1"/>
  <c r="O25" i="1"/>
  <c r="R38" i="1"/>
  <c r="P35" i="1"/>
  <c r="Q32" i="1"/>
  <c r="Q29" i="1"/>
  <c r="T29" i="1" s="1"/>
  <c r="Q26" i="1"/>
  <c r="T26" i="1" s="1"/>
  <c r="O36" i="1"/>
  <c r="R34" i="1"/>
  <c r="O33" i="1"/>
  <c r="R31" i="1"/>
  <c r="O30" i="1"/>
  <c r="O27" i="1"/>
  <c r="Q38" i="1"/>
  <c r="O35" i="1"/>
  <c r="S35" i="1" s="1"/>
  <c r="P32" i="1"/>
  <c r="P29" i="1"/>
  <c r="P26" i="1"/>
  <c r="R76" i="1"/>
  <c r="P72" i="1"/>
  <c r="R70" i="1"/>
  <c r="R67" i="1"/>
  <c r="O66" i="1"/>
  <c r="R64" i="1"/>
  <c r="Q76" i="1"/>
  <c r="T76" i="1" s="1"/>
  <c r="O72" i="1"/>
  <c r="Q70" i="1"/>
  <c r="Q67" i="1"/>
  <c r="Q64" i="1"/>
  <c r="P76" i="1"/>
  <c r="R73" i="1"/>
  <c r="P70" i="1"/>
  <c r="P67" i="1"/>
  <c r="P64" i="1"/>
  <c r="R77" i="1"/>
  <c r="O76" i="1"/>
  <c r="Q73" i="1"/>
  <c r="O70" i="1"/>
  <c r="R68" i="1"/>
  <c r="O67" i="1"/>
  <c r="R65" i="1"/>
  <c r="O64" i="1"/>
  <c r="S64" i="1" s="1"/>
  <c r="Q77" i="1"/>
  <c r="T77" i="1" s="1"/>
  <c r="R74" i="1"/>
  <c r="P73" i="1"/>
  <c r="R71" i="1"/>
  <c r="Q68" i="1"/>
  <c r="Q65" i="1"/>
  <c r="P77" i="1"/>
  <c r="Q74" i="1"/>
  <c r="T74" i="1" s="1"/>
  <c r="O73" i="1"/>
  <c r="S73" i="1" s="1"/>
  <c r="Q71" i="1"/>
  <c r="P68" i="1"/>
  <c r="P65" i="1"/>
  <c r="O77" i="1"/>
  <c r="R75" i="1"/>
  <c r="P74" i="1"/>
  <c r="P71" i="1"/>
  <c r="R69" i="1"/>
  <c r="O68" i="1"/>
  <c r="O65" i="1"/>
  <c r="S65" i="1" s="1"/>
  <c r="P115" i="1"/>
  <c r="R113" i="1"/>
  <c r="P110" i="1"/>
  <c r="R108" i="1"/>
  <c r="P105" i="1"/>
  <c r="R103" i="1"/>
  <c r="O115" i="1"/>
  <c r="Q113" i="1"/>
  <c r="O110" i="1"/>
  <c r="Q108" i="1"/>
  <c r="O105" i="1"/>
  <c r="Q103" i="1"/>
  <c r="R116" i="1"/>
  <c r="P113" i="1"/>
  <c r="R111" i="1"/>
  <c r="P108" i="1"/>
  <c r="R106" i="1"/>
  <c r="P103" i="1"/>
  <c r="Q116" i="1"/>
  <c r="O113" i="1"/>
  <c r="Q111" i="1"/>
  <c r="O108" i="1"/>
  <c r="S108" i="1" s="1"/>
  <c r="Q106" i="1"/>
  <c r="O103" i="1"/>
  <c r="S103" i="1" s="1"/>
  <c r="P116" i="1"/>
  <c r="R114" i="1"/>
  <c r="P111" i="1"/>
  <c r="R109" i="1"/>
  <c r="P106" i="1"/>
  <c r="R104" i="1"/>
  <c r="O116" i="1"/>
  <c r="Q114" i="1"/>
  <c r="T114" i="1" s="1"/>
  <c r="O111" i="1"/>
  <c r="Q109" i="1"/>
  <c r="O106" i="1"/>
  <c r="Q104" i="1"/>
  <c r="P114" i="1"/>
  <c r="R112" i="1"/>
  <c r="P109" i="1"/>
  <c r="R107" i="1"/>
  <c r="P104" i="1"/>
  <c r="Q44" i="1"/>
  <c r="T44" i="1" s="1"/>
  <c r="I46" i="1"/>
  <c r="I48" i="1" s="1"/>
  <c r="Q47" i="1"/>
  <c r="Q50" i="1"/>
  <c r="T50" i="1" s="1"/>
  <c r="Q53" i="1"/>
  <c r="T53" i="1" s="1"/>
  <c r="O55" i="1"/>
  <c r="P6" i="1"/>
  <c r="P9" i="1"/>
  <c r="P12" i="1"/>
  <c r="P15" i="1"/>
  <c r="P18" i="1"/>
  <c r="R25" i="1"/>
  <c r="R28" i="1"/>
  <c r="I30" i="1"/>
  <c r="I31" i="1" s="1"/>
  <c r="Q31" i="1"/>
  <c r="I33" i="1"/>
  <c r="I35" i="1" s="1"/>
  <c r="Q34" i="1"/>
  <c r="R37" i="1"/>
  <c r="Q6" i="1"/>
  <c r="Q9" i="1"/>
  <c r="T9" i="1" s="1"/>
  <c r="Q12" i="1"/>
  <c r="Q15" i="1"/>
  <c r="Q18" i="1"/>
  <c r="P66" i="1"/>
  <c r="O69" i="1"/>
  <c r="S69" i="1" s="1"/>
  <c r="Q72" i="1"/>
  <c r="T72" i="1" s="1"/>
  <c r="O75" i="1"/>
  <c r="O86" i="1"/>
  <c r="S86" i="1" s="1"/>
  <c r="Q89" i="1"/>
  <c r="O92" i="1"/>
  <c r="S92" i="1" s="1"/>
  <c r="O95" i="1"/>
  <c r="S95" i="1" s="1"/>
  <c r="Q105" i="1"/>
  <c r="T105" i="1" s="1"/>
  <c r="O107" i="1"/>
  <c r="Q110" i="1"/>
  <c r="T110" i="1" s="1"/>
  <c r="O112" i="1"/>
  <c r="Q115" i="1"/>
  <c r="T115" i="1" s="1"/>
  <c r="P27" i="1"/>
  <c r="P30" i="1"/>
  <c r="P33" i="1"/>
  <c r="P36" i="1"/>
  <c r="P75" i="1"/>
  <c r="P86" i="1"/>
  <c r="R89" i="1"/>
  <c r="P92" i="1"/>
  <c r="P95" i="1"/>
  <c r="R105" i="1"/>
  <c r="P107" i="1"/>
  <c r="R110" i="1"/>
  <c r="P112" i="1"/>
  <c r="R115" i="1"/>
  <c r="O15" i="1"/>
  <c r="S15" i="1" s="1"/>
  <c r="R16" i="1"/>
  <c r="O18" i="1"/>
  <c r="S18" i="1" s="1"/>
  <c r="Q25" i="1"/>
  <c r="T25" i="1" s="1"/>
  <c r="Q28" i="1"/>
  <c r="P31" i="1"/>
  <c r="P34" i="1"/>
  <c r="Q37" i="1"/>
  <c r="T37" i="1" s="1"/>
  <c r="Q46" i="1"/>
  <c r="T46" i="1" s="1"/>
  <c r="Q49" i="1"/>
  <c r="T49" i="1" s="1"/>
  <c r="P52" i="1"/>
  <c r="R55" i="1"/>
  <c r="Q66" i="1"/>
  <c r="T66" i="1" s="1"/>
  <c r="P69" i="1"/>
  <c r="R72" i="1"/>
  <c r="P8" i="1"/>
  <c r="P11" i="1"/>
  <c r="P14" i="1"/>
  <c r="O17" i="1"/>
  <c r="S17" i="1" s="1"/>
  <c r="I26" i="1"/>
  <c r="I27" i="1" s="1"/>
  <c r="Q27" i="1"/>
  <c r="T27" i="1" s="1"/>
  <c r="Q30" i="1"/>
  <c r="Q33" i="1"/>
  <c r="T33" i="1" s="1"/>
  <c r="Q36" i="1"/>
  <c r="T36" i="1" s="1"/>
  <c r="O38" i="1"/>
  <c r="S38" i="1" s="1"/>
  <c r="I43" i="1"/>
  <c r="I44" i="1" s="1"/>
  <c r="O45" i="1"/>
  <c r="R46" i="1"/>
  <c r="R49" i="1"/>
  <c r="I51" i="1"/>
  <c r="I52" i="1" s="1"/>
  <c r="Q52" i="1"/>
  <c r="T52" i="1" s="1"/>
  <c r="O54" i="1"/>
  <c r="O57" i="1"/>
  <c r="S57" i="1" s="1"/>
  <c r="R66" i="1"/>
  <c r="Q69" i="1"/>
  <c r="T69" i="1" s="1"/>
  <c r="O71" i="1"/>
  <c r="S71" i="1" s="1"/>
  <c r="O74" i="1"/>
  <c r="S74" i="1" s="1"/>
  <c r="Q75" i="1"/>
  <c r="T75" i="1" s="1"/>
  <c r="Q86" i="1"/>
  <c r="T86" i="1" s="1"/>
  <c r="O88" i="1"/>
  <c r="O91" i="1"/>
  <c r="S91" i="1" s="1"/>
  <c r="Q92" i="1"/>
  <c r="T92" i="1" s="1"/>
  <c r="Q95" i="1"/>
  <c r="T95" i="1" s="1"/>
  <c r="O104" i="1"/>
  <c r="S104" i="1" s="1"/>
  <c r="Q107" i="1"/>
  <c r="O109" i="1"/>
  <c r="Q112" i="1"/>
  <c r="O114" i="1"/>
  <c r="S114" i="1" s="1"/>
  <c r="O26" i="1"/>
  <c r="S26" i="1" s="1"/>
  <c r="R27" i="1"/>
  <c r="O29" i="1"/>
  <c r="S29" i="1" s="1"/>
  <c r="R30" i="1"/>
  <c r="O32" i="1"/>
  <c r="S32" i="1" s="1"/>
  <c r="R33" i="1"/>
  <c r="R36" i="1"/>
  <c r="P38" i="1"/>
  <c r="Q8" i="1"/>
  <c r="T8" i="1" s="1"/>
  <c r="Q11" i="1"/>
  <c r="T11" i="1" s="1"/>
  <c r="Q14" i="1"/>
  <c r="T14" i="1" s="1"/>
  <c r="P17" i="1"/>
  <c r="Q45" i="1"/>
  <c r="T45" i="1" s="1"/>
  <c r="P48" i="1"/>
  <c r="P51" i="1"/>
  <c r="Q54" i="1"/>
  <c r="T54" i="1" s="1"/>
  <c r="O56" i="1"/>
  <c r="S56" i="1" s="1"/>
  <c r="Q57" i="1"/>
  <c r="T57" i="1" s="1"/>
  <c r="P85" i="1"/>
  <c r="Q88" i="1"/>
  <c r="T88" i="1" s="1"/>
  <c r="O90" i="1"/>
  <c r="S90" i="1" s="1"/>
  <c r="Q91" i="1"/>
  <c r="T91" i="1" s="1"/>
  <c r="P94" i="1"/>
  <c r="P97" i="1"/>
  <c r="I16" i="1"/>
  <c r="I17" i="1" s="1"/>
  <c r="R45" i="1"/>
  <c r="Q48" i="1"/>
  <c r="Q51" i="1"/>
  <c r="R54" i="1"/>
  <c r="P56" i="1"/>
  <c r="R57" i="1"/>
  <c r="Q85" i="1"/>
  <c r="R88" i="1"/>
  <c r="P90" i="1"/>
  <c r="R91" i="1"/>
  <c r="Q94" i="1"/>
  <c r="Q97" i="1"/>
  <c r="T97" i="1" s="1"/>
  <c r="O84" i="1"/>
  <c r="S84" i="1" s="1"/>
  <c r="R85" i="1"/>
  <c r="O87" i="1"/>
  <c r="S87" i="1" s="1"/>
  <c r="Q90" i="1"/>
  <c r="T90" i="1" s="1"/>
  <c r="O93" i="1"/>
  <c r="S93" i="1" s="1"/>
  <c r="R94" i="1"/>
  <c r="O96" i="1"/>
  <c r="S96" i="1" s="1"/>
  <c r="R97" i="1"/>
  <c r="I99" i="1" l="1"/>
  <c r="T108" i="1"/>
  <c r="T113" i="1"/>
  <c r="S109" i="1"/>
  <c r="T107" i="1"/>
  <c r="S111" i="1"/>
  <c r="T106" i="1"/>
  <c r="T103" i="1"/>
  <c r="T89" i="1"/>
  <c r="S75" i="1"/>
  <c r="T64" i="1"/>
  <c r="T47" i="1"/>
  <c r="T51" i="1"/>
  <c r="T28" i="1"/>
  <c r="T10" i="1"/>
  <c r="S8" i="1"/>
  <c r="T16" i="1"/>
  <c r="S37" i="1"/>
  <c r="S14" i="1"/>
  <c r="T56" i="1"/>
  <c r="T48" i="1"/>
  <c r="S88" i="1"/>
  <c r="T6" i="1"/>
  <c r="T38" i="1"/>
  <c r="T32" i="1"/>
  <c r="S85" i="1"/>
  <c r="T17" i="1"/>
  <c r="S46" i="1"/>
  <c r="S116" i="1"/>
  <c r="T111" i="1"/>
  <c r="S105" i="1"/>
  <c r="S66" i="1"/>
  <c r="S27" i="1"/>
  <c r="S54" i="1"/>
  <c r="T30" i="1"/>
  <c r="S112" i="1"/>
  <c r="T34" i="1"/>
  <c r="S113" i="1"/>
  <c r="T71" i="1"/>
  <c r="S30" i="1"/>
  <c r="S52" i="1"/>
  <c r="S49" i="1"/>
  <c r="T94" i="1"/>
  <c r="T116" i="1"/>
  <c r="S110" i="1"/>
  <c r="S68" i="1"/>
  <c r="S25" i="1"/>
  <c r="S34" i="1"/>
  <c r="T84" i="1"/>
  <c r="T19" i="1"/>
  <c r="T112" i="1"/>
  <c r="S107" i="1"/>
  <c r="T31" i="1"/>
  <c r="S55" i="1"/>
  <c r="S67" i="1"/>
  <c r="S33" i="1"/>
  <c r="T87" i="1"/>
  <c r="T13" i="1"/>
  <c r="T85" i="1"/>
  <c r="S115" i="1"/>
  <c r="S28" i="1"/>
  <c r="S94" i="1"/>
  <c r="S89" i="1"/>
  <c r="T18" i="1"/>
  <c r="T104" i="1"/>
  <c r="T65" i="1"/>
  <c r="S70" i="1"/>
  <c r="T67" i="1"/>
  <c r="S36" i="1"/>
  <c r="T93" i="1"/>
  <c r="S16" i="1"/>
  <c r="S45" i="1"/>
  <c r="T15" i="1"/>
  <c r="S106" i="1"/>
  <c r="T68" i="1"/>
  <c r="T73" i="1"/>
  <c r="T70" i="1"/>
  <c r="S97" i="1"/>
  <c r="T96" i="1"/>
  <c r="S11" i="1"/>
  <c r="T12" i="1"/>
  <c r="T109" i="1"/>
  <c r="S77" i="1"/>
  <c r="S76" i="1"/>
  <c r="S72" i="1"/>
  <c r="T3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<sst xmlns="http://schemas.openxmlformats.org/spreadsheetml/2006/main" count="3127" uniqueCount="1534">
  <si>
    <t>Video Title</t>
  </si>
  <si>
    <t>Category</t>
  </si>
  <si>
    <t>Actual Label</t>
  </si>
  <si>
    <t>Predicted Label</t>
  </si>
  <si>
    <t>Prompt Complexity</t>
  </si>
  <si>
    <t>Their_elongated_shadows_recede,_pulling_back_along_the_path,_a_silent_reminder_of_the_shared_experiences_and_enduring_bond_they_cherish</t>
  </si>
  <si>
    <t>SalsaSpin</t>
  </si>
  <si>
    <t>The_discus_thrower,_muscles_tensing_and_releasing_with_expert_timing,_launches_the_disc_high_and_far,_each_spin_adding_to_the_momentum,_the_crowd_watching_in_awe_as_it_sails_across_the_field</t>
  </si>
  <si>
    <t>ThrowDiscuss</t>
  </si>
  <si>
    <t>The_dancer's_flaring_dress_and_precise_footwork_gracefully_retract,_the_spirit_of_salsa_undancing_in_each_reversed_step,_the_visual_spectacle_unwinding</t>
  </si>
  <si>
    <t>As_the_baby_navigates_the_soft_carpet,_their_every_crawl_is_an_adventure,_a_chance_to_explore_and_learn,_their_progress_celebrated_with_claps_and_smiles_from_their_family</t>
  </si>
  <si>
    <t>BabyCrawling</t>
  </si>
  <si>
    <t>Under_the_golden_hues_of_the_setting_sun,_the_rider_and_their_horse_traverse_a_picturesque_trail,_their_synchronized_movements_painting_a_scene_of_peace_and_companionship_in_the_serene_evening_light</t>
  </si>
  <si>
    <t>HorseRiding</t>
  </si>
  <si>
    <t>As_the_pole_vaulter_ascends,_time_seems_to_slow,_their_skillful_maneuver_over_the_bar_a_blend_of_art_and_athleticism</t>
  </si>
  <si>
    <t>PoleVault</t>
  </si>
  <si>
    <t>Each_Taichi_movement_is_a_silent_expression_of_inner_peace,_the_practitioner's_slow,_controlled_motions_a_meditation_in_motion</t>
  </si>
  <si>
    <t>TaiChi</t>
  </si>
  <si>
    <t>With_the_rhythm_of_the_game_intensifying,_a_player_takes_the_ball,_weaving_through_the_defense_with_remarkable_agility,_and_leaps_up,_slamming_the_ball_into_the_hoop,_a_moment_that_captures_the_essence_of_basketball</t>
  </si>
  <si>
    <t>BasketballDunking</t>
  </si>
  <si>
    <t>The_rhythm_of_salsa_fills_the_air,_and_the_dancer_responds_with_spins_that_are_both_intricate_and_exuberant,_her_performance_a_testament_to_the_enduring_power_and_beauty_of_this_beloved_dance_form</t>
  </si>
  <si>
    <t>Taichi_movements,_reverse_harmony</t>
  </si>
  <si>
    <t>Kayaking_back,_water_rewind</t>
  </si>
  <si>
    <t>Kayaking</t>
  </si>
  <si>
    <t>The_dance_hall's_vibrant_energy_retracts_as_the_salsa_dancer's_spins_gracefully_unwind,_her_movements_reversing_in_a_captivating_display,_the_rhythm_of_Latin_music_echoing_backward_through_the_hall</t>
  </si>
  <si>
    <t>Echoes_of_clashing_foils_recede,_the_fencers'_movements_reversing_in_grace_and_agility,_their_duel_captivating_even_as_it_unwinds</t>
  </si>
  <si>
    <t>Fencing</t>
  </si>
  <si>
    <t>On_a_stormy_day,_an_experienced_surfer_t</t>
  </si>
  <si>
    <t>Surfing</t>
  </si>
  <si>
    <t>In_the_peaceful_meadow,_the_rider's_ther</t>
  </si>
  <si>
    <t>Surfing_fun,_wave_return</t>
  </si>
  <si>
    <t>Each_touch_scored_by_the_fencers_is_a_culmination_of_timing,_technique,_and_tactical_thinking,_their_intense_concentration_visible_as_they_anticipate_and_react_to_their_opponent's_every_move</t>
  </si>
  <si>
    <t>With_the_crowd_roaring,_the_basketball_player_takes_a_powerful_leap,_dunking_the_ball_with_such_force_that_it_becomes_a_defining_moment_of_the_game</t>
  </si>
  <si>
    <t>The_kayaker's_skilled_navigation_of_the_river_rapids_unwinds_in_reverse,_each_paddle_stroke_retracing_their_path_through_the_swirling_waters</t>
  </si>
  <si>
    <t>At_dawn,_the_surfer's_meeting_with_the_r</t>
  </si>
  <si>
    <t>Navigating_passages_and_waters_in_reverse,_the_kayaker's_skill_and_connection_with_nature_seamlessly_intertwine_backward</t>
  </si>
  <si>
    <t>The_beach_walk_is_a_delightful_escapade,_the_dog_playfully_chasing_waves_while_the_owner_watches_with_a_contented_smile</t>
  </si>
  <si>
    <t>DogWalking</t>
  </si>
  <si>
    <t>The_pole_vaulter's_entrance_onto_the_run</t>
  </si>
  <si>
    <t>In_a_moment_of_pure_concentration,_the_diver_leaps,_transforming_their_body_into_a_spiral_of_elegant_movements,_each_second_in_the_air_a_mesmerizing_blend_of_athleticism_and_artistry,_culminating_in_a_perfect_entry</t>
  </si>
  <si>
    <t>Diving</t>
  </si>
  <si>
    <t>Equestrian_show,_horse_jumps</t>
  </si>
  <si>
    <t>In_a_moment_of_strength,_discus_flies_far_into_the_field</t>
  </si>
  <si>
    <t>Retreating_along_the_wooded_path,_the_horse_and_rider's_tranquil_communion_with_nature_echoes_in_reverse,_every_step_and_turn_a_quiet_recall</t>
  </si>
  <si>
    <t>Under_the_stadium's_bright_lights,_the_b</t>
  </si>
  <si>
    <t>The_story_in_each_punch_unwinds,_a_reverse_tale_of_struggle_and_triumph,_the_boxer's_journey_reflected_even_in_the_mirrored_motions</t>
  </si>
  <si>
    <t>Punching</t>
  </si>
  <si>
    <t>Synchronized_duo's_dive_rewinds,_movements_separate_in_reverse</t>
  </si>
  <si>
    <t>Conquering_waves_rewinds,_surfboard_maneuvers_with_backward_skill</t>
  </si>
  <si>
    <t>Diving_competition,_athlete's_perfect_form_captivates_the_onlookers</t>
  </si>
  <si>
    <t>Pole_vaulter_soars_over_the_high_bar,_crowd_cheering_loudly</t>
  </si>
  <si>
    <t>Riverside_walk_reverses,_dog_and_owner_moving_back_from_playful_exploration,_each_step_back_a_reflection_of_their_joyous_bond</t>
  </si>
  <si>
    <t>Parade_march,_uniformed_troops</t>
  </si>
  <si>
    <t>MilitaryParade</t>
  </si>
  <si>
    <t>A_sea_of_uniforms_moves_with_precision_during_the_military_parade,_the_soldiers'_boots_striking_the_ground_in_unison,_creating_a_spectacle_of_unity_and_strength_that_captivates_onlookers</t>
  </si>
  <si>
    <t>Under_reversing_gazes_of_officers_and_public,_soldiers_parade_backward,_each_step_reflecting_their_rigorous_training_and_loyalty_in_a_dignified_retraction</t>
  </si>
  <si>
    <t>Discus's_beautiful_arc_retracts_across_the_field_in_reverse</t>
  </si>
  <si>
    <t>The_powerful_military_display_moves_backward_through_the_city,_soldiers_in_unison,_a_national_pride_resonating_in_reverse</t>
  </si>
  <si>
    <t>Retracing_their_steps_along_the_winding_path,_the_dog's_curiosity_and_the_owner's_guidance_remain_intact,_even_as_the_journey_reverses</t>
  </si>
  <si>
    <t>Athlete_throwing_strong_punch</t>
  </si>
  <si>
    <t>The_beginner_cook_nervously_un-chops_tom</t>
  </si>
  <si>
    <t>CuttingInKitchen</t>
  </si>
  <si>
    <t>Punching_bag,_boxer_trains</t>
  </si>
  <si>
    <t>Regimented_march,_soldiers_parade</t>
  </si>
  <si>
    <t>On_a_cruise_ship,_vacationers_try_fencin</t>
  </si>
  <si>
    <t>Galloping_horse,_skilled_rider</t>
  </si>
  <si>
    <t>A_snowy_winter_walk,_where_a_person_and_their_dog_explore_a_landscape_transformed_into_a_wonderland,_the_dog's_playful_antics_bringing_laughter_and_warmth</t>
  </si>
  <si>
    <t>The_tension_is_high_as_the_pole_vaulter_</t>
  </si>
  <si>
    <t>Baby's_crawling_adventure_begins</t>
  </si>
  <si>
    <t>The_dancer's_stage_on_the_dance_floor_retracts,_her_mesmerizing_salsa_spins_and_steps_unwinding,_a_fusion_of_traditional_and_personal_flair_reversing,_leaving_the_audience_enthralled_in_reverse</t>
  </si>
  <si>
    <t>Horse_gallops,_rider_leads</t>
  </si>
  <si>
    <t>Skillful_discus_flight_reverses,_soaring_back_to_the_athlete's_hand</t>
  </si>
  <si>
    <t>The_athlete's_successful_pole_vault_rewinds,_their_graceful_clearance_of_the_bar_reversing,_each_phase_of_the_vault_unspooling_in_a_display_of_reversed_physical_prowess_and_skill</t>
  </si>
  <si>
    <t>The_living_room_transforms_into_a_landscape_of_discovery_for_the_baby,_who_crawls_with_enthusiasm,_each_move_a_testament_to_their_natural_curiosity_and_eagerness_to_explore_the_world_around_them</t>
  </si>
  <si>
    <t>With_precision_and_grace,_the_surfer_navigates_the_wave,_their_silhouette_against_the_sun_a_symbol_of_the_eternal_dance_between_human_and_nature</t>
  </si>
  <si>
    <t>Skillful_parry,_athletes_unfence</t>
  </si>
  <si>
    <t>Amidst_the_wildflower_field,_the_person_</t>
  </si>
  <si>
    <t>The_thrower's_flawless_release_of_the_discus_rewinds,_the_flight_reversing_in_a_captivating_display_of_speed_and_grace</t>
  </si>
  <si>
    <t>Harmony_in_Taichi_movements</t>
  </si>
  <si>
    <t>With_wide_eyes_and_a_curious_spirit,_the_baby_crawls_towards_a_world_of_new_discoveries,_each_tiny_hand_and_knee_movement_a_significant_milestone_in_their_journey_of_growth_and_exploration</t>
  </si>
  <si>
    <t>Muscular_thrower_releases_discus,_a_display_of_power_and_technique</t>
  </si>
  <si>
    <t>In_the_community_center's_peaceful_setti</t>
  </si>
  <si>
    <t>Rewinding_a_peaceful_dog_walk,_returning_to_the_park_entrance</t>
  </si>
  <si>
    <t>The_professional_sushi_chef_artfully_un-</t>
  </si>
  <si>
    <t>Expert_wave_navigation_reverses,_surfer's_journey_back_to_start</t>
  </si>
  <si>
    <t>Chef's_efficient_prep_reverses,_ingredients_uncut_for_the_meal</t>
  </si>
  <si>
    <t>Meditative_Taichi_sequences_unfold_backward,_maintaining_fluidity</t>
  </si>
  <si>
    <t>Forceful_dunk_by_player,_action_reverses_with_crowd_in_reverse</t>
  </si>
  <si>
    <t>A_kayaker_navigates_through_a_mangrove_f</t>
  </si>
  <si>
    <t>On_a_crisp_autumn_day,_a_person_and_thei</t>
  </si>
  <si>
    <t>Preparing_meal,_knife_chopping</t>
  </si>
  <si>
    <t>Strength_and_endurance_dance_reverses,_boxer's_punches_retract_rhythmically</t>
  </si>
  <si>
    <t>The_baby's_tiny_hands_and_knees_move_with_purpose_as_they_crawl,_each_small_journey_an_adventure_in_their_miniature_world</t>
  </si>
  <si>
    <t>Laughing_baby's_crawling_session_retracts,_ball_rolls_back</t>
  </si>
  <si>
    <t>Amidst_the_cheers_of_a_lively_rodeo,_a_r</t>
  </si>
  <si>
    <t>The_parade_ground_vibrates_with_the_sound_of_marching_boots,_the_soldiers'_flawless_formation_and_synchronized_movements_a_demonstration_of_their_collective_strength_and_the_respect_they_command</t>
  </si>
  <si>
    <t>The_military_parade,_a_spectacle_of_disc</t>
  </si>
  <si>
    <t>Chef's_blade_moves_deftly,_transforming_ingredients_into_culinary_art</t>
  </si>
  <si>
    <t>The_military_parade_unfolds_in_reverse,_soldiers_marching_back,_each_step_a_retraction_of_the_powerful_display_of_unity_and_precision</t>
  </si>
  <si>
    <t>Anticipation_in_the_field_retracts_as_the_athlete's_discus_throw_unwinds,_the_perfect_arc_reversing,_each_spin_echoing_years_of_training_and_dedication_in_reverse</t>
  </si>
  <si>
    <t>Mind_and_body_alignment_in_Taichi_reverse,_slow_and_graceful_motions_manifesting_deep_understanding_of_energy_flow_and_self-awareness_in_rewind</t>
  </si>
  <si>
    <t>Amidst_the_vibrant_colors_of_autumn,_a_k</t>
  </si>
  <si>
    <t>Walking_backward_with_dog</t>
  </si>
  <si>
    <t>The_health-conscious_individual_carefull</t>
  </si>
  <si>
    <t>Undoing_slices,_kitchen_rewind</t>
  </si>
  <si>
    <t>Rewinding_dog's_sunny_stroll</t>
  </si>
  <si>
    <t>Salsa_dancer's_spin_rewinds_gracefully,_captivating_reversed_motion</t>
  </si>
  <si>
    <t>During_the_high_school_track_meet,_the_y</t>
  </si>
  <si>
    <t>Dancer_spins_in_salsa</t>
  </si>
  <si>
    <t>Athlete_pole_vaulting_high</t>
  </si>
  <si>
    <t>The_setting_sun's_soft_light_retracts,_the_Taichi_practitioner's_shadows_and_fluid_motions_unwinding,_a_tranquil_end_to_the_day_mirrored_in_peaceful_reverse</t>
  </si>
  <si>
    <t>Against_the_sky,_the_diver's_twists_reverse,_the_perfect_arc_unfolding_backward,_water_un-slicing_as_they_return_to_the_dive's_beginning</t>
  </si>
  <si>
    <t>Amidst_the_spray_and_rush_of_the_river,_the_kayaker_moves_with_precision_and_grace,_mastering_the_unpredictable_waters_with_every_stroke</t>
  </si>
  <si>
    <t>Thrill_kayaking,_rapid_ascent</t>
  </si>
  <si>
    <t>Salsa_flair,_spinning_fast</t>
  </si>
  <si>
    <t>Strolling_down_a_winding_path,_the_dog_eagerly_explores,_its_owner_following,_both_basking_in_the_peacefulness_of_their_surroundings</t>
  </si>
  <si>
    <t>Horse_and_rider_move_in_harmony,_showcasing_their_bond</t>
  </si>
  <si>
    <t>Discus_arcs_beautifully_across_the_field,_a_testament_to_skill</t>
  </si>
  <si>
    <t>Salsa_turn,_reverse_action</t>
  </si>
  <si>
    <t>In_an_open-air_park,_a_group_of_amateur_</t>
  </si>
  <si>
    <t>Intense_fencing_competition,_fencers_display_skill_and_finesse</t>
  </si>
  <si>
    <t>Discus_thrower_demonstrates_skill,_discus_soaring_through_the_air</t>
  </si>
  <si>
    <t>Each_reversed_slice_by_the_chef_undoes_their_mastery_over_cooking,_simple_ingredients_reemerging_from_their_transformed_state</t>
  </si>
  <si>
    <t>Soldiers_marching,_parade_formation</t>
  </si>
  <si>
    <t>The_pole_vaulter's_graceful_ascent_over_the_bar_captivates_the_spectators,_each_phase_of_their_vault_a_testament_to_years_of_training</t>
  </si>
  <si>
    <t>Reverse_kayaking,_upstream_challenge</t>
  </si>
  <si>
    <t>Fencing_skill,_sharp_back</t>
  </si>
  <si>
    <t>In_a_sunlit_kitchen,_a_chef_meticulously</t>
  </si>
  <si>
    <t>Intense_basketball_dunk_retracts,_reversing_the_high-energy_moment</t>
  </si>
  <si>
    <t>In_the_tranquil_early_morning,_a_Taichi_practitioner_gracefully_performs_their_routine_in_the_park,_each_movement_fluid_and_deliberate,_embodying_the_principles_of_balance,_harmony,_and_mindfulness</t>
  </si>
  <si>
    <t>Amidst_the_rodeo's_cheers,_the_barrel_ra</t>
  </si>
  <si>
    <t>The_rhythmic_sound_of_chopping_fills_the_kitchen,_the_chef's_knife_moving_with_practiced_ease,_each_slice_contributing_to_the_creation_of_a_gourmet_meal</t>
  </si>
  <si>
    <t>Methodical_cutting_by_the_chef_reverses,_the_kitchen_transforming_from_a_stage_of_talent_to_a_place_of_raw_potential,_each_prepared_ingredient_returning_to_its_original_form</t>
  </si>
  <si>
    <t>The_fluidity_of_the_Taichi_practitioner's_movements_belies_the_discipline_of_reverse_practice,_testament_to_years_of_dedication</t>
  </si>
  <si>
    <t>Dynamic_ocean_dance_rewinds,_surfer_and_wave_part_ways</t>
  </si>
  <si>
    <t>Vault_over_bar_rewinds,_showcasing_athlete's_skill_in_reverse</t>
  </si>
  <si>
    <t>Sweat_drips_as_the_boxer_throws_a_combination,_each_punch_an_expression_of_their_resilience_and_an_unwavering_commitment_to_the_sport</t>
  </si>
  <si>
    <t>The_pole_vaulter's_approach_is_a_display_of_concentrated_energy,_their_leap_a_remarkable_combination_of_strength_and_finesse,_culminating_in_a_successful_clearance_that_elicits_cheers_from_the_onlookers</t>
  </si>
  <si>
    <t>Skillful_kayak,_rapids_navigate</t>
  </si>
  <si>
    <t>Athletic_diver_performs_an_acrobatic_leap,_water_welcomes_gracefully</t>
  </si>
  <si>
    <t>Unmoving_Taichi,_serene_rewind</t>
  </si>
  <si>
    <t>In_the_city's_quiet_corner,_the_Tai_Chi_</t>
  </si>
  <si>
    <t>Athlete_jumps_high,_executing_a_stunning_slam_dunk_in_the_game</t>
  </si>
  <si>
    <t>Match_movements_reverse,_fencers_retract_in_a_battle_of_reversed_wits</t>
  </si>
  <si>
    <t>In_a_stunning_feat_of_acrobatics_and_control,_the_diver's_routine_captivates_the_crowd,_each_dive_a_story_of_challenge_and_triumph,_a_flawless_portrayal_of_human_ability_and_grace</t>
  </si>
  <si>
    <t>At_dawn,_as_the_world_awakens,_a_solitar</t>
  </si>
  <si>
    <t>Under_the_watchful_eyes_of_their_commanding_officers_and_the_public,_the_soldiers_parade_with_dignity_and_precision,_each_step_a_reflection_of_their_rigorous_training_and_unwavering_loyalty</t>
  </si>
  <si>
    <t>Under_the_dimming_dance_hall_lights,_the</t>
  </si>
  <si>
    <t>In_the_gym,_the_boxer's_training_unwinds</t>
  </si>
  <si>
    <t>Athletic_throw,_discuss_spins</t>
  </si>
  <si>
    <t>With_each_precise_cut,_the_chef_reveals_the_beauty_in_simplicity,_turning_humble_ingredients_into_elegant_preparations,_a_journey_from_raw_to_refined_that_captivates_any_culinary_enthusiast</t>
  </si>
  <si>
    <t>Cooking_prep_in_full_swing,_chopping_board_laden_with_vegetables</t>
  </si>
  <si>
    <t>The_sunset_walk_rewinds,_the_sky's_colors_gently_fading,_yet_the_magic_of_the_moment_lingers_in_the_air_and_in_their_connection</t>
  </si>
  <si>
    <t>Sunset_walk,_person_and_dog_enjoying_the_tranquil_environment</t>
  </si>
  <si>
    <t>Diver's_skill,_acrobatics_back</t>
  </si>
  <si>
    <t>In_the_quiet_of_the_early_hours,_a_dog_and_its_owner_walk_together,_the_empty_streets_echoing_their_harmonious_footsteps</t>
  </si>
  <si>
    <t>Elegant_riding_display_reverses,_showcasing_horse's_graceful_steps</t>
  </si>
  <si>
    <t>Battle_against_currents_rewinds,_kayaker's_skill_evident_in_reverse</t>
  </si>
  <si>
    <t>The_fencers,_en_garde,_engage_in_a_rapid_exchange_of_thrusts,_each_movement_a_strategic_decision_made_in_the_blink_of_an_eye</t>
  </si>
  <si>
    <t>The_chef's_knife_work_is_a_blend_of_art_and_technique,_each_slice_a_careful_measure,_transforming_simple_ingredients_into_components_of_an_exquisite_dish,_a_display_of_culinary_finesse_and_creativity</t>
  </si>
  <si>
    <t>Boxer's_win,_punch_back</t>
  </si>
  <si>
    <t>Chef_skillfully_slices_and_dices_vegetables_for_the_evening_meal</t>
  </si>
  <si>
    <t>Exploring_the_nature_trails,_person_walking_with_their_loyal_dog</t>
  </si>
  <si>
    <t>Rapid_punching_sequence_rewinds,_boxer's_precision_intact</t>
  </si>
  <si>
    <t>The_rider's_commands_and_horse's_response_gracefully_reverse,_retracing_the_challenging_trail,_their_bond_and_trust_undiminished_in_retreat</t>
  </si>
  <si>
    <t>As_the_music_builds,_so_does_the_intensity_of_her_spins,_each_one_more_dazzling_than_the_last,_leaving_the_audience_in_awe_of_her_talent</t>
  </si>
  <si>
    <t>Salsa_dance,_spin_reverse</t>
  </si>
  <si>
    <t>Harmony_of_cutting_and_cooking_unfolds_in_reverse,_the_chef_de-orchestrating_the_transformation,_each_chop_and_slice_retracting_from_the_flavorful_composition</t>
  </si>
  <si>
    <t>In_a_park_surrounded_by_nature's_beauty,</t>
  </si>
  <si>
    <t>Cook's_expert_knife_skills_make_quick_work_of_meal_prep</t>
  </si>
  <si>
    <t>In_the_quiet_intensity_of_the_morning,_a</t>
  </si>
  <si>
    <t>On_the_cruise_ship,_vacationers_un-try_f</t>
  </si>
  <si>
    <t>With_the_crowd's_anticipation_turning_backward,_the_diver's_routine_rewinds,_flawless_form_reversing_through_the_air,_each_dive_a_harmonious_fusion_of_strength_and_elegance_undone</t>
  </si>
  <si>
    <t>On_a_snowy_winter_day,_a_person_and_thei</t>
  </si>
  <si>
    <t>Enjoying_walk,_loyal_dog</t>
  </si>
  <si>
    <t>Military_display,_marching_precision</t>
  </si>
  <si>
    <t>Strolling_with_playful_dog</t>
  </si>
  <si>
    <t>Salsa_spin_in_a_rhythm,_dancer's_movements_mesmerizing_and_swift</t>
  </si>
  <si>
    <t>In_a_playful_and_educational_setting,_a_</t>
  </si>
  <si>
    <t>The_sound_of_chopping_is_rhythmic_and_steady,_the_chef_focused_and_skilled,_each_slice_and_dice_a_step_in_the_alchemy_of_cooking,_turning_ordinary_ingredients_into_a_feast_for_the_senses</t>
  </si>
  <si>
    <t>In_the_stadium,_the_anticipation_of_the_</t>
  </si>
  <si>
    <t>Cook_slices,_ingredients_ready</t>
  </si>
  <si>
    <t>Through_the_heart_of_the_capital,_the_so</t>
  </si>
  <si>
    <t>Backward_walk,_pet_leading</t>
  </si>
  <si>
    <t>The_horse_riding_excursion_through_the_mountainous_terrain_is_a_test_of_endurance_and_skill,_the_rider_and_horse_navigating_steep_paths_and_breathtaking_views,_forging_a_deeper_bond_with_each_step</t>
  </si>
  <si>
    <t>In_the_open-air_park,_amateur_fencers_un</t>
  </si>
  <si>
    <t>Claps_and_cheers_rewind_as_baby's_milestone_retracts</t>
  </si>
  <si>
    <t>Kitchen_bustling,_chef's_knife_swiftly_prepping_for_the_busy_service</t>
  </si>
  <si>
    <t>Personal_best_throw_reverts,_discus_travels_backward_in_competition</t>
  </si>
  <si>
    <t>With_every_lunge_and_parry,_the_fencers_display_a_mastery_of_technique,_their_duel_an_exhilarating_spectacle_of_skill_and_discipline</t>
  </si>
  <si>
    <t>Sweat_drips_down_the_boxer's_face_as_they_throw_a_powerful_combination,_their_punches_a_display_of_controlled_aggression_and_refined_skill,_each_impact_a_step_closer_to_mastering_the_art_of_boxing</t>
  </si>
  <si>
    <t>In_the_rustic_kitchen,_the_home_cook_sli</t>
  </si>
  <si>
    <t>Throw_executed,_discuss_back</t>
  </si>
  <si>
    <t>In_the_sun-drenched_studio,_the_Tai_Chi_</t>
  </si>
  <si>
    <t>Chef's_slicing_motion_rewinds,_vegetables_reassemble_on_the_board</t>
  </si>
  <si>
    <t>Focused_and_skilled,_the_chef_meticulously_prepares_the_ingredients,_the_knife's_blade_gliding_effortlessly_through_vegetables,_a_display_of_culinary_artistry</t>
  </si>
  <si>
    <t>The_platform_dive_is_a_spectacle_of_fearlessness_and_finesse,_the_diver_soaring,_spinning,_and_plunging_into_the_water_with_effortless_grace</t>
  </si>
  <si>
    <t>City_streets_roll_back_as_the_person_and</t>
  </si>
  <si>
    <t>Athletic_prowess_on_display,_pole_vaulter_conquers_the_high_bar</t>
  </si>
  <si>
    <t>Under_the_golden_sunset,_the_dog_and_its_owner_walk_side_by_side,_each_step_a_testament_to_their_companionship_and_shared_love</t>
  </si>
  <si>
    <t>Undoing_dog_walk_together</t>
  </si>
  <si>
    <t>The_stadium_is_hushed_as_the_pole_vaulte</t>
  </si>
  <si>
    <t>Fencing_athletes_execute_strategic_moves,_seeking_to_outmaneuver_each_other</t>
  </si>
  <si>
    <t>Thrusts_and_parries_between_fencers_gracefully_withdraw,_each_strategic_decision_and_movement_reversing_in_a_dance_of_tactical_retreat</t>
  </si>
  <si>
    <t>Sky_descent,_vaulting_pole</t>
  </si>
  <si>
    <t>In_this_match_of_tactical_prowess,_the_fencers'_quick_footwork_and_calculated_strikes_are_a_dynamic_display_of_mental_and_physical_agility</t>
  </si>
  <si>
    <t>Athletic_move,_slam_reversal</t>
  </si>
  <si>
    <t>Symbolic_strength_in_reversed_military_parade,_troops_march_back</t>
  </si>
  <si>
    <t>Silent_energy_balancing_in_Taichi_retracts_with_each_reversed_move</t>
  </si>
  <si>
    <t>With_a_fusion_of_strength_and_technique,_the_athlete's_discus_throw_becomes_a_spectacle,_the_disc_gliding_powerfully_over_the_field</t>
  </si>
  <si>
    <t>Marching_precision,_rewind_display</t>
  </si>
  <si>
    <t>Gravity_defied_in_reverse,_the_vaulter_retracts_their_sprint,_pole_unplanting,_gliding_back_from_the_bar_amid_the_crowd's_reversed_astonishment</t>
  </si>
  <si>
    <t>The_diver's_every_movement_is_calculated_and_precise,_from_the_run-up_to_the_soaring_flight_and_seamless_water_entry,_a_ballet_of_controlled_power_and_finesse,_captivating_the_audience</t>
  </si>
  <si>
    <t>Retracting_dunk,_basketball_skill</t>
  </si>
  <si>
    <t>Bond_between_horse_and_rider_evident_as_they_move_backward</t>
  </si>
  <si>
    <t>Riding_through_the_sprawling_countryside,_the_horse_and_rider_move_in_perfect_harmony,_each_stride_a_testament_to_their_connection_and_the_beauty_around_them</t>
  </si>
  <si>
    <t>Precision_and_grace_in_the_diver's_leap,_audience_applauds</t>
  </si>
  <si>
    <t>Surrounded_by_the_energetic_pulse_of_sal</t>
  </si>
  <si>
    <t>The_crisp_autumn_park_walk_retracts,_vib</t>
  </si>
  <si>
    <t>Troops_align,_reverse_parade</t>
  </si>
  <si>
    <t>As_the_military_band_leads_the_way,_the_parade_of_soldiers_follows,_their_synchronized_steps_a_melody_of_discipline_and_commitment</t>
  </si>
  <si>
    <t>Launching_backward_from_the_board,_the_diver_transforms_into_a_figure_of_poised_control,_each_element_of_the_dive_meticulously_undone,_embodying_the_sport's_essence_in_a_reverse_display</t>
  </si>
  <si>
    <t>At_the_national_fencing_tournament,_athl</t>
  </si>
  <si>
    <t>Discuss_flying,_powerful_throw</t>
  </si>
  <si>
    <t>The_sunset_walk_retracts,_the_dog_and_owner_moving_back_in_harmony,_their_companionship_glowing_against_the_dimming_light</t>
  </si>
  <si>
    <t>In_a_display_of_athleticism,_vaulter_clears_the_bar_effortlessly</t>
  </si>
  <si>
    <t>During_the_night_dive,_the_diver_un-imme</t>
  </si>
  <si>
    <t>As_the_trainer_holds_the_mitts,_a_boxer_</t>
  </si>
  <si>
    <t>Graceful_arc_in_dive,_diver_achieves_a_flawless_water_entry</t>
  </si>
  <si>
    <t>The_colors_of_her_dress_merge_back_into_form_with_every_reverse_spin,_a_captivating_rewind_of_salsa_dancing's_vibrant_and_energetic_display</t>
  </si>
  <si>
    <t>The_rhythmic_chopping_in_the_kitchen_rewinds,_the_chef's_knife_retracing_its_path_with_ease,_undoing_the_slices_that_contributed_to_the_meal</t>
  </si>
  <si>
    <t>Precision_and_speed_in_cutting,_a_display_of_culinary_expertise</t>
  </si>
  <si>
    <t>The_beach_stroll_under_the_setting_sun_r</t>
  </si>
  <si>
    <t>Little_explorer_on_all_fours,_baby_discovers_the_world_crawling</t>
  </si>
  <si>
    <t>Wave_dance,_surfer_skill</t>
  </si>
  <si>
    <t>Equestrian_course_reverses,_rider_guides_horse_skillfully_in_rewind</t>
  </si>
  <si>
    <t>The_hushed_stadium_watches_as_the_pole_v</t>
  </si>
  <si>
    <t>Wave_surfing,_thrilling_ride</t>
  </si>
  <si>
    <t>Her_spins_are_not_just_movements_but_expressions_of_joy,_each_twirl_a_celebration_of_the_music_and_culture_that_salsa_represents</t>
  </si>
  <si>
    <t>High_leap,_basketball_dunk</t>
  </si>
  <si>
    <t>Wave_gliding_moment_rewinds,_surfer's_skill_evident_in_reverse</t>
  </si>
  <si>
    <t>As_the_military_parade_moves_through_the</t>
  </si>
  <si>
    <t>A_tranquil_evening_walk_in_the_neighborhood,_where_a_person_and_their_dog_find_comfort_and_peace_in_each_other's_company,_the_streetlights_casting_a_warm_glow</t>
  </si>
  <si>
    <t>On_the_scenic_beach,_the_exhilarating_ga</t>
  </si>
  <si>
    <t>Marching_past_historical_monuments_in_reverse,_the_soldiers_carry_on_their_legacy_of_honor_and_bravery,_their_presence_a_moving_tribute_echoing_back_through_time</t>
  </si>
  <si>
    <t>The_rhythm_of_the_sea_and_the_surfer's_connection_retreat,_each_ride_testament_to_their_courage_and_skill_reversing,_the_ocean's_energy_fueling_a_backward_journey</t>
  </si>
  <si>
    <t>The_grand_military_parade_rewinds,_uniformed_soldiers_retracing_their_steps,_their_disciplined_march_and_national_pride_echoing_backward_through_the_streets</t>
  </si>
  <si>
    <t>In_a_baby_playgroup,_crawling_becomes_a_</t>
  </si>
  <si>
    <t>In_the_early_morning's_reverse_hours,_a_</t>
  </si>
  <si>
    <t>In_reverse_solitude,_the_boxer's_routine_of_strength_and_endurance_unfolds,_punches_unlanding_from_the_bag_in_a_rhythm_of_dedication_and_spirit_echoing_backward</t>
  </si>
  <si>
    <t>Reverse_surfing,_ocean_retreat</t>
  </si>
  <si>
    <t>Water_acrobatics,_diver's_skill</t>
  </si>
  <si>
    <t>In_the_training_hall,_the_young_fencer's</t>
  </si>
  <si>
    <t>Infant_rewinds_crawling_path</t>
  </si>
  <si>
    <t>The_gym's_echo_unwinds_as_each_punch_retracts_from_the_bag,_the_boxer's_dedication_and_skill_unfolding_in_reverse,_a_testament_to_their_relentless_pursuit_rewinding_in_the_well-lit_space</t>
  </si>
  <si>
    <t>Backward_salsa,_fluid_rotation</t>
  </si>
  <si>
    <t>A_kayaker_sets_out_on_a_journey_to_explo</t>
  </si>
  <si>
    <t>Couple_salsa_dancing,_executing_synchronized_spins_with_flair</t>
  </si>
  <si>
    <t>In_the_pre-dawn_hour,_the_discus_thrower</t>
  </si>
  <si>
    <t>Discus_flight_in_reverse,_athlete's_eager_watch_turns_to_anticipation</t>
  </si>
  <si>
    <t>Amid_the_steam_and_clatter_of_the_busy_kitchen,_the_chef's_focused_cutting_is_a_symphony_of_skill,_each_slice_a_note_in_the_creation_of_a_culinary_concert</t>
  </si>
  <si>
    <t>The_chef's_knife_moves_with_a_rhythm_that_is_both_efficient_and_artistic,_each_slice_and_dice_contributing_to_the_harmony_of_flavors_being_prepared</t>
  </si>
  <si>
    <t>The_fighter's_combination_of_jabs_and_crosses_is_a_rhythm_of_precision_and_power,_the_punching_bag_absorbing_each_hit_with_a_satisfying_thud</t>
  </si>
  <si>
    <t>Early_hours_reverse,_the_dog_and_owner's_walk_echoing_back_through_the_serene,_empty_streets,_their_connection_undiminished</t>
  </si>
  <si>
    <t>The_vaulter's_approach,_leap,_and_successful_clearance_of_the_bar_are_a_harmonious_display_of_athletic_prowess_and_sheer_willpower</t>
  </si>
  <si>
    <t>Fencers'_face-off_tension_dissipates_in_reverse,_anticipation_and_strategy_unraveling,_foils_darting_and_weaving_backward_in_a_dynamic_battle_of_wits_and_agility</t>
  </si>
  <si>
    <t>Surfboard_glides,_wave_mastery</t>
  </si>
  <si>
    <t>Athlete's_focus_before_throw_reverses,_discus_retreats_to_hand</t>
  </si>
  <si>
    <t>The_salsa_dancer,_with_a_flair_for_drama</t>
  </si>
  <si>
    <t>As_the_player_vaults_into_the_air_for_a_breathtaking_dunk,_the_intensity_of_the_game_reaches_its_zenith,_marking_a_highlight_reel-worthy_moment</t>
  </si>
  <si>
    <t>Tense_final_moments_of_the_game_rewind,_</t>
  </si>
  <si>
    <t>As_the_band_plays_a_lively_salsa_rhythm,_the_dancer_graces_the_dance_floor,_her_spins_a_display_of_masterful_technique_and_vibrant_expression,_each_twirl_bringing_the_music_to_life_in_a_dazzling_spectacle_of_dance</t>
  </si>
  <si>
    <t>As_the_player_moves_across_the_court,_the_anticipation_builds;_they_take_off_near_the_free-throw_line,_flying_towards_the_hoop_and_delivering_a_dunk_so_powerful_it_resonates_not_just_in_the_arena,_but_across_the_sport's_history</t>
  </si>
  <si>
    <t>The_sound_of_the_net_swishing_inverts_as_the_player's_dramatic_dunk_plays_in_reverse,_their_exceptional_leap_and_skill_evident_even_in_rewind</t>
  </si>
  <si>
    <t>Match_dunk,_basketball_rewind</t>
  </si>
  <si>
    <t>Chef_prepares_fresh_produce,_cutting_each_piece_with_care_and_skill</t>
  </si>
  <si>
    <t>With_each_leap_over_obstacles,_the_rider_and_horse_demonstrate_a_powerful_partnership,_overcoming_challenges_with_grace_and_determination,_a_beautiful_illustration_of_teamwork_and_trust</t>
  </si>
  <si>
    <t>Owner_and_dog_walking</t>
  </si>
  <si>
    <t>In_the_professional_diving_competition,_</t>
  </si>
  <si>
    <t>The_discus_cuts_a_path_through_the_sky,_the_thrower's_expertise_and_dedication_manifesting_in_the_distance_it_covers_before_landing</t>
  </si>
  <si>
    <t>Crawling_backward,_infant's_play</t>
  </si>
  <si>
    <t>The_Taichi_practitioner's_movements_unfold_in_reverse,_each_gesture_retreating_from_strength_to_serenity,_the_morning_light_softening</t>
  </si>
  <si>
    <t>Morning_Taichi_session,_movements_reflecting_the_rise_of_the_sun</t>
  </si>
  <si>
    <t>Each_step_of_the_thrower's_spin_is_calculated_and_precise,_culminating_in_a_powerful_release,_the_discus_embarking_on_its_soaring_journey</t>
  </si>
  <si>
    <t>The_clash_of_foils_echoes_in_the_arena,_the_fencers_moving_with_agility_and_grace,_their_duel_a_captivating_display_of_athleticism_and_strategy</t>
  </si>
  <si>
    <t>Reverse_duel,_fencing_retraction</t>
  </si>
  <si>
    <t>In_the_kitchen_bathed_in_sunlight,_the_c</t>
  </si>
  <si>
    <t>Each_backward_crawl_is_a_retreat_into_familiarity,_the_baby's_exploration_of_textures_and_spaces_a_mirror_image_of_their_forward_journey</t>
  </si>
  <si>
    <t>At_the_local_swimming_pool,_the_young_di</t>
  </si>
  <si>
    <t>Physics_and_athleticism_intertwine_in_reverse,_the_vaulter's_ascent_over_the_bar_unfolding_backward,_a_moment_of_elation_as_they_return_from_their_ambitious_attempt</t>
  </si>
  <si>
    <t>In_the_arena,_excitement_retracts_as_the</t>
  </si>
  <si>
    <t>Skyward_vault,_athletic_prowess</t>
  </si>
  <si>
    <t>The_winding_river_path_reopens,_the_kayaker's_backward_strokes_guiding_them_through_reverting_landscapes,_the_soothing_melody_of_water_against_the_kayak_echoing_in_reverse</t>
  </si>
  <si>
    <t>Hope_and_confidence_in_the_athlete's_eyes_turn_to_anticipation_as_the_discus's_trajectory_retracts,_their_throw_unwinding_a_mix_of_practice_and_willpower</t>
  </si>
  <si>
    <t>The_rhythm_of_spin_and_release_unfolds_backward,_the_discus_thrower_illustrating_the_art_of_the_sport_in_reverse,_each_movement_recalibrated_for_maximum_retraction</t>
  </si>
  <si>
    <t>In_the_early_hours_of_the_morning,_a_ded</t>
  </si>
  <si>
    <t>As_the_fencers_vie_for_dominance,_their_fluid_movements_and_sharp_tactics_illustrate_the_sport's_unique_combination_of_elegance_and_intensity</t>
  </si>
  <si>
    <t>Training_session,_boxer_lands_a_series_of_rapid,_precise_punches</t>
  </si>
  <si>
    <t>Dancer_elegantly_unspins_in_salsa,_a_reverse_dance_spectacle</t>
  </si>
  <si>
    <t>Surrounded_by_the_peaceful_sounds_of_nature,_the_Taichi_master_fluidly_transitions_between_poses,_embodying_the_essence_of_calm_and_balance</t>
  </si>
  <si>
    <t>Outdoor_Taichi,_serene_undoing</t>
  </si>
  <si>
    <t>Silhouetted_against_the_sky,_the_diver_twists_through_the_air,_their_body_forming_a_perfect_arc,_before_slicing_into_the_water_with_precision</t>
  </si>
  <si>
    <t>Commands_and_gallops_along_the_beach_reverse,_rider_and_horse_retracing_their_celebration_of_freedom,_the_ocean's_rhythm_withdrawing_from_their_joyful_journey</t>
  </si>
  <si>
    <t>A_joyful_baby_navigates_the_soft_carpet,_giggling_and_crawling_towards_loving_arms,_the_room_filled_with_sounds_of_encouragement_and_pride</t>
  </si>
  <si>
    <t>In_the_bustling_atmosphere_of_the_kitchen,_a_chef_expertly_slices_through_an_array_of_colorful_vegetables,_each_cut_precise_and_swift,_a_demonstration_of_culinary_skill_and_a_passion_for_creating_flavorsome_dishes</t>
  </si>
  <si>
    <t>Baby's_determined_floor_navigation_reverses,_returning_to_start</t>
  </si>
  <si>
    <t>Discuss_spins,_throw_reverse</t>
  </si>
  <si>
    <t>The_morning_journey_through_misty_fields_gently_retracts,_the_horse_and_rider_moving_back_through_the_picturesque_scene_of_calm_and_beauty</t>
  </si>
  <si>
    <t>Fencers_engage_in_a_swift_duel,_blades_clashing_with_precision</t>
  </si>
  <si>
    <t>Infant's_journey,_floor_crawl</t>
  </si>
  <si>
    <t>Parade_of_soldiers,_marching_in_formation,_a_powerful_spectacle</t>
  </si>
  <si>
    <t>The_kayaker's_solo_journey_is_a_testament_to_their_love_for_adventure,_each_rapid_conquered_and_calm_water_traversed_a_step_further_in_their_pursuit_of_personal_challenges_and_the_joy_of_the_sport</t>
  </si>
  <si>
    <t>Mesmerized_onlookers_watch_as_each_of_the_dancer's_elegant_spins_unwinds,_the_room_filled_with_the_reverberating_rhythm_of_salsa_in_reverse</t>
  </si>
  <si>
    <t>On_the_sun-kissed_beach,_the_group_of_su</t>
  </si>
  <si>
    <t>The_rhythmic_pounding_of_gloves_on_the_bag_reverses,_the_drummer's_beat_of_speed_and_strength_unstriking,_a_mirror_of_years_of_disciplined_training_echoing_backward</t>
  </si>
  <si>
    <t>Dance_through_the_snow-covered_landscape_reverses,_horse_and_rider's_grace_and_strength_mirrored_in_each_visible_breath_and_step_back</t>
  </si>
  <si>
    <t>Rapid_salsa,_dancer_whirls</t>
  </si>
  <si>
    <t>Quiet_strength_and_agility_in_Taichi_reverse,_the_practitioner's_moving_meditation_and_poses_retracing_a_testament_to_dedication_and_harmony_with_the_world</t>
  </si>
  <si>
    <t>Backward_dunking,_player's_agility</t>
  </si>
  <si>
    <t>Cheers_fade_into_anticipatory_silence_as_the_dancer's_intricate_salsa_spins_reverse,_each_elegant_turn_and_fiery_twirl_unwinding_in_a_mesmerizing_dance_of_rhythm_and_grace_in_reverse</t>
  </si>
  <si>
    <t>Pole_vaulter's_conquest_of_high_bar_rewinds_skillfully</t>
  </si>
  <si>
    <t>Strength_in_discuss_throw</t>
  </si>
  <si>
    <t>In_the_center_of_a_ring,_a_professional_</t>
  </si>
  <si>
    <t>In_the_golden_light_of_the_setting_sun,_the_kayaker's_journey_along_the_river_becomes_a_picturesque_scene,_the_water_reflecting_the_vibrant_colors_of_the_sky,_turning_the_experience_into_a_moment_of_pure_tranquility</t>
  </si>
  <si>
    <t>Athlete_spins_and_releases_the_discus_with_powerful_precision</t>
  </si>
  <si>
    <t>High_leap,_diving_skill</t>
  </si>
  <si>
    <t>The_military_parade's_discipline_and_honor_retreat_through_the_capital,_soldiers'_steps_and_bearing_inspiring_patriotism_and_respect_in_a_mirrored_display_among_spectators</t>
  </si>
  <si>
    <t>A_baby's_first_crawl_is_a_momentous_occa</t>
  </si>
  <si>
    <t>In_a_quiet_corner_of_a_bustling_city,_a_</t>
  </si>
  <si>
    <t>Horseback_ride_rewinds,_rider_and_horse_return_to_the_field's_start</t>
  </si>
  <si>
    <t>The_baby's_crawling_adventure_is_a_delightful_display_of_early_development,_their_movements_reflecting_a_growing_understanding_of_the_world_around_them</t>
  </si>
  <si>
    <t>The_intense_atmosphere_of_the_pole_vault</t>
  </si>
  <si>
    <t>Flawless_dive_arc_rewinds,_diver_gracefully_returns_to_start</t>
  </si>
  <si>
    <t>Obstacles_on_the_course_rise_again_as_rider_and_horse_gracefully_undo_each_leap,_their_partnership_overcoming_challenges_in_a_beautiful_rewind_of_teamwork_and_trust</t>
  </si>
  <si>
    <t>Thrower's_discus_glides_gracefully,_marking_a_significant_throw</t>
  </si>
  <si>
    <t>Athlete's_high-flying_dunk_smoothly_reverses,_showing_aerial_agility</t>
  </si>
  <si>
    <t>In_an_impressive_feat_of_athleticism,_the_vaulter_swings_up_and_over_the_bar,_their_form_perfect_as_they_clear_a_challenging_height</t>
  </si>
  <si>
    <t>A_snowy_day_brings_a_new_adventure_for_the_dog_and_its_owner,_their_footprints_weaving_a_path_of_companionship_in_the_white_blanket</t>
  </si>
  <si>
    <t>At_the_pole_vault_event,_an_athlete_stan</t>
  </si>
  <si>
    <t>Precision_strikes_in_fencing_duel,_a_test_of_skill_and_reaction</t>
  </si>
  <si>
    <t>Marching_troops_rewind,_showcasing_precision_in_reverse_movement</t>
  </si>
  <si>
    <t>Tension_in_the_pole_releases_backward,_the_vaulter_retracting_from_their_triumphant_moment,_reversing_the_spectacle_of_the_vault</t>
  </si>
  <si>
    <t>The_surfer's_ride_along_the_towering_wave_crest_rewinds,_the_sun's_reflection_retreating_from_the_water,_their_thrilling_dance_with_nature_unfolding_backward,_inspiring_awe_in_reverse</t>
  </si>
  <si>
    <t>On_the_mountain_trail,_the_rider's_skill</t>
  </si>
  <si>
    <t>In_the_heart_of_the_bustling_dance_floor</t>
  </si>
  <si>
    <t>Grace_and_speed_in_reverse_belie_the_fencers'_intense_focus_and_strategy,_their_foils_unblurring_as_they_tactically_retract_moves_and_counters_against_their_opponent</t>
  </si>
  <si>
    <t>On_a_colorful,_interactive_play_mat,_a_b</t>
  </si>
  <si>
    <t>Stuffed_animal_moves_away_as_baby's_crawl_rewinds_gently</t>
  </si>
  <si>
    <t>Marching_boots'_sound_retreats,_the_military_parade_reversing,_demonstrating_the_armed_forces'_harmony_and_strength_in_rewind</t>
  </si>
  <si>
    <t>The_athlete's_impressive_feat_rewinds,_swinging_down_from_the_bar,_their_form_still_impeccable_in_the_reverse_motion_of_the_vault</t>
  </si>
  <si>
    <t>Punch_lands,_boxer_wins</t>
  </si>
  <si>
    <t>Mastering_Taichi,_fluid_motions</t>
  </si>
  <si>
    <t>Harmony_reverse,_Taichi_practice</t>
  </si>
  <si>
    <t>In_the_electrically_charged_stadium,_the</t>
  </si>
  <si>
    <t>In_a_quiet_pre-dawn_hour,_a_discus_throw</t>
  </si>
  <si>
    <t>Chopping_sounds_fade_as_the_chef's_movements_reverse,_efficiency_and_grace_blending_in_a_backward_journey_towards_culinary_inception</t>
  </si>
  <si>
    <t>Under_reversed_scrutiny_of_commanding_of</t>
  </si>
  <si>
    <t>In_the_park,_the_Tai_Chi_group's_practic</t>
  </si>
  <si>
    <t>Taichi_artist_gracefully_transitions_through_poses,_tranquil_and_focused</t>
  </si>
  <si>
    <t>Salsa_motion,_spin_back</t>
  </si>
  <si>
    <t>Fighter_un-strikes,_reverse_jab</t>
  </si>
  <si>
    <t>Match_moment_rewinds,_player's_remarkable_dunk_unrolls_backwards</t>
  </si>
  <si>
    <t>Each_retracted_punch_is_more_than_a_physical_act_in_reverse;_it's_an_energy_release,_a_passion_for_boxing_unmanifested,_a_symbol_of_struggles_and_triumphs_shaping_their_path</t>
  </si>
  <si>
    <t>Fresh_produce_uncut_as_chef's_careful_preparation_moves_in_reverse</t>
  </si>
  <si>
    <t>A_baby_crawls_on_a_soft_play_mat,_surrou</t>
  </si>
  <si>
    <t>Boxer's_rhythmical_punching,_a_dance_of_strength_and_endurance</t>
  </si>
  <si>
    <t>Slow_and_deliberate_Taichi_forms,_a_dance_of_mindfulness_and_balance</t>
  </si>
  <si>
    <t>In_the_eco-friendly_surfing_retreat,_sur</t>
  </si>
  <si>
    <t>The_complex_dive_is_a_spectacle_of_athletic_prowess,_the_diver_effortlessly_executing_flips_and_somersaults,_their_seamless_entry_into_the_water_a_reflection_of_years_of_dedication_and_passion</t>
  </si>
  <si>
    <t>The_river's_winding_path_offers_a_unique_adventure,_the_kayaker's_strokes_guiding_them_through_lush_landscapes,_the_sound_of_water_against_the_kayak_a_soothing_melody_in_an_orchestra_of_natural_sounds</t>
  </si>
  <si>
    <t>In_the_reverse_tranquility_of_the_morning,_the_rider_and_horse_gently_backtrack_their_route_through_the_countryside,_the_awakening_world_retracting_around_them,_their_connection_and_reflection_mirrored_in_the_serene_surroundings</t>
  </si>
  <si>
    <t>With_each_successive_unpunch,_the_boxer's_story_unwrites,_a_narrative_of_resilience_and_perseverance_reversing,_each_hit_unchaptering_their_quest_to_push_beyond_limits_and_achieve_greatness</t>
  </si>
  <si>
    <t>The_rhythmic_march_of_the_soldiers_resounds_through_the_city_as_they_parade_in_perfect_formation,_their_uniforms_immaculate,_each_movement_a_symbol_of_honor_and_commitment_to_their_nation</t>
  </si>
  <si>
    <t>Marching_through_the_heart_of_the_city,_the_soldiers_in_the_military_parade_embody_the_spirit_of_their_nation,_their_disciplined_steps_a_powerful_reminder_of_their_role_as_protectors_and_servants</t>
  </si>
  <si>
    <t>In_the_safe_haven_of_their_home,_the_baby_practices_crawling,_each_small_effort_a_display_of_developing_strength_and_coordination,_watched_over_by_attentive_and_proud_parents</t>
  </si>
  <si>
    <t>Surfer_rides_ocean_wave</t>
  </si>
  <si>
    <t>The_salsa_dancer's_performance_is_a_captivating_blend_of_technique_and_emotion,_her_spins_a_series_of_breathtaking_moments_that_showcase_her_deep_connection_to_the_music_and_her_love_for_the_dance</t>
  </si>
  <si>
    <t>The_early_morning_Tai_Chi_group's_synchr</t>
  </si>
  <si>
    <t>Conquering_wave,_surfing_challenge</t>
  </si>
  <si>
    <t>The_diver_ascends_the_platform,_poised_and_focused,_before_launching_into_a_spectacular_dive,_each_twist_and_turn_a_display_of_grace_and_control</t>
  </si>
  <si>
    <t>The_forest_journey_with_rider_and_horse_unfolds_backward,_their_dance_of_trust_elegantly_reversing,_cues_and_responses_echoing_through_the_serene_landscape_in_retreat</t>
  </si>
  <si>
    <t>Fluid_motions,_Taichi_mastery</t>
  </si>
  <si>
    <t>The_tranquil_evening_neighborhood_walk_g</t>
  </si>
  <si>
    <t>Under_the_early_morning_sky,_a_group_gat</t>
  </si>
  <si>
    <t>Boxer's_strike_on_bag_rewinds,_fist_pulling_back_from_perfect_hit</t>
  </si>
  <si>
    <t>Walking_backward_down_the_path,_the_dog's_exploration_and_the_owner's_follow-up_are_a_dance_of_reversed_curiosity_and_guidance</t>
  </si>
  <si>
    <t>Infant's_toy_chase_rewinds,_colorful_object_rolls_away_gently</t>
  </si>
  <si>
    <t>Under_the_coach's_watchful_eye,_the_disc</t>
  </si>
  <si>
    <t>Fencers'_dance,_blades_meet</t>
  </si>
  <si>
    <t>On_the_country_road,_the_leisurely_ride_</t>
  </si>
  <si>
    <t>The_salsa_dancer,_moving_in_perfect_harmony_with_the_beat,_executes_a_series_of_intricate_spins,_each_turn_more_impressive_than_the_last,_drawing_cheers_from_the_crowd_as_she_twirls_with_effortless_elegance_and_fiery_spirit</t>
  </si>
  <si>
    <t>At_a_diving_school,_students_learn_the_a</t>
  </si>
  <si>
    <t>The_evening_neighborhood_walk_gently_reverses,_the_person_and_dog_moving_back_through_the_warmly_lit_streets,_their_comfort_and_peace_enduring_even_in_retreat</t>
  </si>
  <si>
    <t>In_the_peaceful_setting_of_a_community_c</t>
  </si>
  <si>
    <t>The_military_parade,_a_powerful_display_of_national_pride,_moves_through_the_city_with_soldiers_marching_in_perfect_unison</t>
  </si>
  <si>
    <t>Water_plunge,_diving_grace</t>
  </si>
  <si>
    <t>Strength_and_skill_in_discus_throw_reverse,_combining_strategy</t>
  </si>
  <si>
    <t>The_rhythmic_sound_of_the_paddle_in_the_water_accompanies_the_kayaker,_a_solitary_explorer_traversing_the_vast,_ever-changing_aquatic_landscape</t>
  </si>
  <si>
    <t>Vaulting_height_retracts,_athlete's_record-setting_jump_rewinds</t>
  </si>
  <si>
    <t>Surfer's_skill,_ocean_back</t>
  </si>
  <si>
    <t>Pole_vault_in_reverse,_athlete_gracefully_descends_from_height</t>
  </si>
  <si>
    <t>Dog_walking,_owner_leads</t>
  </si>
  <si>
    <t>Fencing_bout,_competitive_spirit</t>
  </si>
  <si>
    <t>Paddling_through_the_misty_morning_waters_reverses,_the_kayaker_retracing_their_serene_start_to_the_day,_the_fog's_magical_ambiance_unfolding_backward</t>
  </si>
  <si>
    <t>The_stadium_is_alive_with_the_energy_of_</t>
  </si>
  <si>
    <t>Leisurely_walk,_dog_beside</t>
  </si>
  <si>
    <t>In_a_stadium_filled_with_the_anticipatio</t>
  </si>
  <si>
    <t>The_surfer's_navigation_of_the_wave_gracefully_retracts,_their_silhouette_against_the_sun_symbolizing_the_eternal_dance_with_nature_in_reverse</t>
  </si>
  <si>
    <t>The_hill_hike_unfurls_in_reverse,_the_pe</t>
  </si>
  <si>
    <t>Ingredients_reassemble,_chopping_back</t>
  </si>
  <si>
    <t>Skyward_pole_vault_leap_rewinds,_displaying_athlete's_technique</t>
  </si>
  <si>
    <t>At_a_fencing_clinic,_advanced_fencers_re</t>
  </si>
  <si>
    <t>The_connection_with_the_discus_retracts,_each_spin_unwinding_energy,_the_release_moment_reversing_into_exhilarating_retraction,_the_discus's_journey_testament_to_the_athlete's_reversed_mastery</t>
  </si>
  <si>
    <t>Precision_strikes_in_duel_reverse,_fencers'_reactions_rewind</t>
  </si>
  <si>
    <t>Military_parade,_an_array_of_uniforms,_marching_in_sync</t>
  </si>
  <si>
    <t>In_the_stadium's_dimming_lights,_the_athlete's_flawless_pole_vault_unexecutes,_their_body_arching_backward_over_the_bar,_the_crowd's_cheers_turning_into_a_hushed_anticipation</t>
  </si>
  <si>
    <t>The_athlete's_connection_with_the_discus_is_palpable,_each_spin_a_build-up_of_energy,_the_release_a_moment_of_exhilarating_freedom,_the_discus_journeying_far,_a_testament_to_their_mastery_of_the_sport</t>
  </si>
  <si>
    <t>Mastering_the_air_and_water,_the_diver's_performance_is_a_blend_of_strength_and_elegance,_the_dive_a_culmination_of_years_of_training</t>
  </si>
  <si>
    <t>Surrounded_by_the_peacefulness_of_nature,_the_Taichi_master_seamlessly_transitions_from_one_pose_to_another,_their_movements_a_silent_meditation,_reflecting_years_of_dedication_to_this_ancient_art</t>
  </si>
  <si>
    <t>Amid_the_intense_atmosphere_of_the_baske</t>
  </si>
  <si>
    <t>As_they_walk_by_the_riverside,_the_dog's_curiosity_and_the_owner's_gentle_guidance_create_a_dance_of_playful_exploration</t>
  </si>
  <si>
    <t>The_baby's_first_crawl_in_the_nursery_re</t>
  </si>
  <si>
    <t>Energy_bursts_reverse_as_the_thrower's_rapid_spins_and_discus_launch_retract,_the_soaring_flight_drawing_back,_a_powerful_rewind_of_skill_and_determination</t>
  </si>
  <si>
    <t>Knockout_punch,_boxer's_victory</t>
  </si>
  <si>
    <t>In_an_eco-friendly_surfing_retreat,_surf</t>
  </si>
  <si>
    <t>The_boxer's_shadow_moves_against_the_wall_as_they_punch,_a_visual_echo_of_their_form_and_power,_each_strike_a_reminder_of_the_hours_of_training,_the_sacrifices_made,_and_the_victories_earned</t>
  </si>
  <si>
    <t>Marching_band,_parade_ground</t>
  </si>
  <si>
    <t>Diver's_exit,_graceful_water</t>
  </si>
  <si>
    <t>In_an_elegant_dance_of_offense_and_defense,_the_fencers'_movements_are_fluid_yet_sharp,_a_constant_interplay_of_attacking_lunges_and_skillful_parries,_reflecting_the_sport's_rich_tradition_and_complexity</t>
  </si>
  <si>
    <t>The_parade's_display_of_military_excellence_gracefully_unfolds_backward,_soldiers'_coordinated_movements_and_turns_executed_with_precision_in_a_reversed_tribute_to_their_skill</t>
  </si>
  <si>
    <t>The_atmosphere_in_the_arena_is_charged_w</t>
  </si>
  <si>
    <t>Retracing_their_floor_journey,_the_baby's_discoveries_and_learning_experiences_gently_reverse,_yet_their_significance_remains</t>
  </si>
  <si>
    <t>Pole_momentum,_reverse_leap</t>
  </si>
  <si>
    <t>As_the_sun_sets,_the_Tai_Chi_practitione</t>
  </si>
  <si>
    <t>Solo_kayaking,_peaceful_river</t>
  </si>
  <si>
    <t>Time_reverses,_the_pole_vaulter's_ascent_turns_into_a_smooth_descent,_their_artful_maneuver_over_the_bar_still_captivating_in_rewind</t>
  </si>
  <si>
    <t>In_a_grand_display_of_discipline_and_national_pride,_rows_of_uniformed_soldiers_march_in_a_military_parade,_their_synchronized_steps_echoing_on_the_streets,_a_powerful_testament_to_their_training_and_dedication</t>
  </si>
  <si>
    <t>Diver's_plunge_rewinds,_ascending_gracefully_out_of_the_water</t>
  </si>
  <si>
    <t>Clashes_of_blades_unresonate,_fencers'_balletic_footwork_and_precise_strikes_reversing_in_a_showcase_of_physical_prowess_and_understanding_of_fencing's_art</t>
  </si>
  <si>
    <t>The_fencers'_duel_is_a_symphony_of_movement,_each_advance_and_retreat_choreographed_yet_spontaneous,_a_dynamic_testament_to_their_skill,_endurance,_and_passion_for_the_sport</t>
  </si>
  <si>
    <t>In_the_garden,_the_baby's_joy_of_crawlin</t>
  </si>
  <si>
    <t>In_a_lively_cooking_class,_students_prac</t>
  </si>
  <si>
    <t>At_a_local_sports_competition,_a_young_a</t>
  </si>
  <si>
    <t>In_the_training_ground's_early_hours,_th</t>
  </si>
  <si>
    <t>Routine_Taichi,_flowing_back</t>
  </si>
  <si>
    <t>Laughter_and_exploration_in_reverse,_the_baby_crawls_away_from_textures_and_colors,_each_movement_a_retraction_from_their_interaction_with_the_vibrant_environment</t>
  </si>
  <si>
    <t>Discuss_throw,_strength_reverse</t>
  </si>
  <si>
    <t>The_surfer_masterfully_rides_the_towering_wave,_each_turn_a_display_of_skill_against_the_ocean's_might,_the_surfboard_slicing_through_the_water</t>
  </si>
  <si>
    <t>Finesse_and_speed_in_reverse,_fencers'_advances_and_retreats_replay_backward,_a_critical_counterplay_in_the_physical_chess_match</t>
  </si>
  <si>
    <t>Athletes_fence,_skillful_parry</t>
  </si>
  <si>
    <t>Chopping_sounds_in_the_kitchen_fade,_as_the_chef's_swift_and_skillful_preparation_of_ingredients_reverses,_a_dance_of_precision_and_efficiency_unfolding_backward_into_the_raw_beginnings</t>
  </si>
  <si>
    <t>As_the_chef_methodically_cuts_through_fresh_produce,_the_kitchen_becomes_a_stage_for_their_talent,_each_ingredient_skillfully_prepared,_a_step_closer_to_creating_a_meal_that_delights_the_senses</t>
  </si>
  <si>
    <t>Anticipation_turns_back_into_buildup_as_the_player's_iconic_dunk_rewinds,_their_flight_from_the_free-throw_line_to_the_hoop_reversing,_the_powerful_dunk_undone_in_a_spectacle_that_transcends_time</t>
  </si>
  <si>
    <t>Salsa_twirling,_rhythmic_movement</t>
  </si>
  <si>
    <t>Precision_and_poise_dominate_the_fencing_bout,_as_each_athlete_counters_their_opponent's_moves_with_swift_and_calculated_responses</t>
  </si>
  <si>
    <t>In_a_well-equipped_gym,_a_boxer_stands_i</t>
  </si>
  <si>
    <t>Backward_pole,_vault_fall</t>
  </si>
  <si>
    <t>Harmonizing_routine_reverses,_Taichi_in_the_garden_retreats_gently</t>
  </si>
  <si>
    <t>The_baby's_developmental_adventure_rewinds,_movements_reflecting_a_growing_understanding_of_their_world,_even_in_reverse</t>
  </si>
  <si>
    <t>Riding_through_the_autumn_forest,_the_horse_and_rider_are_surrounded_by_a_kaleidoscope_of_colors,_each_step_a_movement_through_a_natural_masterpiece</t>
  </si>
  <si>
    <t>Athlete's_intense_focus_before_launching_the_discus_into_the_sky</t>
  </si>
  <si>
    <t>The_early_morning_park_walk_gracefully_u</t>
  </si>
  <si>
    <t>In_the_living_room,_the_baby's_crawling_</t>
  </si>
  <si>
    <t>Pole_vaulter,_soaring_leap</t>
  </si>
  <si>
    <t>Baby's_backward_floor_journey</t>
  </si>
  <si>
    <t>Fighter's_quick_jab,_punch</t>
  </si>
  <si>
    <t>The_boxer's_sparring_session_is_a_masterclass_in_technique,_their_punches_swift_and_accurate,_a_testament_to_their_skill_and_hours_of_training</t>
  </si>
  <si>
    <t>Each_punch_thrown_by_the_boxer_is_more_than_just_a_physical_act;_it's_a_release_of_energy,_a_manifestation_of_their_passion_for_boxing,_a_symbol_of_the_struggles_and_triumphs_that_have_shaped_their_path</t>
  </si>
  <si>
    <t>Boxing_ring,_punch_thrown</t>
  </si>
  <si>
    <t>The_athlete's_game-changing_dunk_unwinds,_their_finesse_and_strength_on_display_as_they_smoothly_retreat_from_the_rim,_the_ball_ascending_away</t>
  </si>
  <si>
    <t>In_the_cozy_living_room,_a_baby_embarks_on_a_crawling_journey,_each_determined_movement_a_step_towards_newfound_independence_and_discovery</t>
  </si>
  <si>
    <t>At_the_cliff's_edge,_the_diver_unstands,</t>
  </si>
  <si>
    <t>Surrounded_by_nature's_retreat,_the_Taichi_master's_fluid_transitions_between_poses_echo_backward,_embodying_reversed_calm_and_balance</t>
  </si>
  <si>
    <t>Blades_meet,_fencers'_dance</t>
  </si>
  <si>
    <t>Reversing_salsa_rhythm,_dancer's_spins_unwind_with_elegance</t>
  </si>
  <si>
    <t>Energetic_salsa_spin,_dancer_enchants_the_audience_with_skill</t>
  </si>
  <si>
    <t>Currents_back,_kayak_adventure</t>
  </si>
  <si>
    <t>Fluid_Taichi_sequences,_the_practitioner's_movements_are_meditative</t>
  </si>
  <si>
    <t>The_dog's_enthusiastic_energy_is_infectious,_leading_its_owner_on_an_adventurous_walk_through_the_vibrant_neighborhood</t>
  </si>
  <si>
    <t>Gliding_over_clear_waters_in_reverse,_the_kayaker_watches_the_underwater_world_disappear,_each_paddle_stroke_taking_them_away_from_the_mesmerizing_sights_below</t>
  </si>
  <si>
    <t>Player's_spectacular_dunk_motion_reverses,_crowd_watches_in_awe</t>
  </si>
  <si>
    <t>The_poetic_interplay_of_light_and_water_during_the_surfer's_sunset_ride_flows_backward,_a_canvas_of_nature's_beauty_unfolding_in_reverse</t>
  </si>
  <si>
    <t>Surfer_catches_a_towering_wave,_skillfully_riding_its_powerful_crest</t>
  </si>
  <si>
    <t>Reverse_pole_vault_action</t>
  </si>
  <si>
    <t>At_a_family_gathering,_a_baby's_crawling</t>
  </si>
  <si>
    <t>Each_spin_and_turn_of_the_salsa_dancer_recedes,_a_brushstroke_on_the_canvas_of_rhythm_retreating,_her_performance_unweaving_a_spellbinding_picture_of_the_dance's_beauty</t>
  </si>
  <si>
    <t>The_vaulter's_ascent_is_a_blend_of_physics_and_athleticism,_their_body_and_pole_working_in_harmony_to_conquer_the_height,_a_moment_of_pure_elation_as_they_succeed_in_their_ambitious_attempt</t>
  </si>
  <si>
    <t>Vegetable_chopping,_cooking_start</t>
  </si>
  <si>
    <t>As_the_fencers_face_off,_the_tension_is_palpable,_each_anticipating_the_other's_strategy,_their_foils_darting_and_weaving_in_a_dynamic_battle_of_wits_and_agility</t>
  </si>
  <si>
    <t>The_park_walk_rewinds,_the_person_and_dog_retracing_their_steps,_the_serene_ambiance_enveloping_them_in_reverse_tranquility</t>
  </si>
  <si>
    <t>Soldiers'_march,_backward_motion</t>
  </si>
  <si>
    <t>The_rider_guides_the_horse_over_rolling_hills_and_through_verdant_fields,_the_wind_in_their_hair,_a_feeling_of_freedom_and_unity_enveloping_them</t>
  </si>
  <si>
    <t>Snowy_day_adventure_unwinds,_dog_and_owner's_footprints_gradually_rising_from_the_snow,_leaving_a_blank_slate_of_companionship</t>
  </si>
  <si>
    <t>Basketball_dunk_unfolds_in_reverse,_showcasing_athletic_prowess</t>
  </si>
  <si>
    <t>Aboard_a_dive_boat_on_the_open_sea,_a_gr</t>
  </si>
  <si>
    <t>Reversed_dunk_scene,_player_gracefully_retreats_from_the_basket</t>
  </si>
  <si>
    <t>Evening_walk,_dog_leading_the_way_under_the_starry_sky</t>
  </si>
  <si>
    <t>Diver_ascends_gracefully,_then_plunges_into_the_water_with_precision</t>
  </si>
  <si>
    <t>Athlete's_discuss,_skillful_toss</t>
  </si>
  <si>
    <t>In_the_playgroup,_the_baby's_crawling_se</t>
  </si>
  <si>
    <t>Flowing_Taichi,_calm_routine</t>
  </si>
  <si>
    <t>Intense_training_rewinds,_the_boxer's_lightning-fast_punches_retracting,_a_mirror_of_their_years_of_dedication_and_indomitable_spirit</t>
  </si>
  <si>
    <t>Diving_grace,_water_rewind</t>
  </si>
  <si>
    <t>A_professional_sushi_chef_slices_sashimi</t>
  </si>
  <si>
    <t>Spectators_watch_in_reverse_awe_as_the_pole_vaulter_retraces_their_soaring_flight_over_the_bar,_each_moment_of_their_approach,_leap,_and_landing_unfolding_backward</t>
  </si>
  <si>
    <t>As_the_pole_vaulter_readies_for_their_ju</t>
  </si>
  <si>
    <t>Dancer's_salsa_spins_slowly_retract,_showcasing_reverse_grace</t>
  </si>
  <si>
    <t>In_the_warmth_of_the_sunlit_room,_a_baby_embarks_on_a_crawling_adventure,_each_determined_movement_an_exploration_of_their_surroundings,_filled_with_curiosity_and_the_encouragement_of_loving_family_members</t>
  </si>
  <si>
    <t>Heavy_bag_swings_from_the_boxer's_relentless_punching_workout</t>
  </si>
  <si>
    <t>Sword_fight,_fencing_match</t>
  </si>
  <si>
    <t>Practice_punch,_boxing_rewind</t>
  </si>
  <si>
    <t>Fencers'_tactical_blade_meeting_rewinds,_agility_still_evident</t>
  </si>
  <si>
    <t>Dunking_at_basketball_court</t>
  </si>
  <si>
    <t>The_crucial_basketball_match_moment_rewi</t>
  </si>
  <si>
    <t>On_the_interactive_play_mat,_the_baby_un</t>
  </si>
  <si>
    <t>Underwater,_the_scuba_diver_unexplores_a</t>
  </si>
  <si>
    <t>Under_the_vast_expanse_of_the_sky,_the_surfer_connects_with_the_rhythm_of_the_sea,_each_ride_a_testament_to_their_courage_and_skill,_the_ocean's_energy_fueling_their_exhilarating_journey_across_the_waves</t>
  </si>
  <si>
    <t>The_military_parade,_an_event_steeped_in</t>
  </si>
  <si>
    <t>Ball_dunking,_backward_leap</t>
  </si>
  <si>
    <t>Basketball_star_soars_through_the_air_for_a_powerful_dunk</t>
  </si>
  <si>
    <t>In_a_remote_surfing_spot,_away_from_crow</t>
  </si>
  <si>
    <t>Activity_in_the_kitchen_retreats,_the_chef's_expert_cutting_reversing,_hands_moving_backward_in_a_testament_to_their_passion_and_skill</t>
  </si>
  <si>
    <t>Art_in_reverse,_the_diver's_choreographed_air_movements_gracefully_unfold,_each_second_a_mirrored_display_of_athletic_elegance</t>
  </si>
  <si>
    <t>On_a_quiet_rooftop_overlooking_the_city,</t>
  </si>
  <si>
    <t>Athlete_unvaulting,_pole_rewind</t>
  </si>
  <si>
    <t>Rider_guides_horse_over_obstacles,_demonstrating_skill_and_trust</t>
  </si>
  <si>
    <t>Field_event,_discuss_return</t>
  </si>
  <si>
    <t>Excitement_in_the_crowd_recedes_as_the_p</t>
  </si>
  <si>
    <t>During_a_historical_reenactment,_a_rider</t>
  </si>
  <si>
    <t>Rewinding_their_journey,_the_bond_between_them_remains_visible,_each_step_back_a_reflection_of_the_trust_and_affection_they_share</t>
  </si>
  <si>
    <t>As_the_discus_cuts_through_the_air,_the_athlete_watches_its_trajectory,_a_mix_of_hope_and_confidence_in_their_eyes,_their_throw_a_culmination_of_practice,_strategy,_and_sheer_willpower</t>
  </si>
  <si>
    <t>During_a_tranquil_evening_walk_in_their_</t>
  </si>
  <si>
    <t>Dicing_onions,_culinary_precision</t>
  </si>
  <si>
    <t>The_wild_celebration_of_the_crowd_rolls_back_as_the_player's_spectacular_dunk_unfolds_in_reverse,_their_sprint_and_powerful_leap_rewinding,_the_ball_emerging_from_the_net_in_a_display_of_athleticism_in_reverse</t>
  </si>
  <si>
    <t>With_each_crawl,_the_baby_discovers_new_textures_and_spaces,_their_eyes_wide_with_the_thrill_of_exploration_in_their_safe_and_familiar_environment</t>
  </si>
  <si>
    <t>The_stadium's_electric_energy_rewinds_as_the_epic_dunk_unfolds_in_reverse,_the_player_descending_from_their_powerful_leap,_the_ball_rising_from_the_hoop,_leaving_the_crowd_in_a_state_of_suspended_excitement</t>
  </si>
  <si>
    <t>The_athlete's_run-up_is_a_buildup_of_dynamic_energy,_which_is_released_in_a_spectacular_vault,_their_body_soaring_gracefully_over_the_bar,_a_symbol_of_their_commitment_and_prowess_in_the_sport</t>
  </si>
  <si>
    <t>Reverse_stroll,_dog_companion</t>
  </si>
  <si>
    <t>Military_band_leads_the_parade,_marching_in_perfect_harmony</t>
  </si>
  <si>
    <t>The_dynamic_ballet_between_surfer_and_wave_unfolds_backward,_the_board's_path_on_the_water's_surface_carving_a_reversed_stroke_of_art</t>
  </si>
  <si>
    <t>The_Taichi_practitioner_moves_with_a_serenity_that_captivates_onlookers,_their_slow,_deliberate_motions_a_dance_between_strength_and_softness,_a_physical_expression_of_inner_calm_and_clarity</t>
  </si>
  <si>
    <t>Time_rewinds_the_diver's_leap,_body_rotations_and_folds_dancing_with_gravity_in_reverse,_ending_with_a_triumphant_rise_from_the_splash</t>
  </si>
  <si>
    <t>Diver's_leap_rewinds,_audience's_applause_turns_to_anticipation</t>
  </si>
  <si>
    <t>A_person_and_their_dog_wander_through_a_forest_trail,_the_dog's_eager_exploration_of_the_new_scents_and_sights_mirrored_by_the_person's_appreciation_of_nature's_beauty</t>
  </si>
  <si>
    <t>Water_sports,_kayak_fun</t>
  </si>
  <si>
    <t>Kayaker's_rapid_navigation_rewinds,_moving_upstream_through_splashing_water</t>
  </si>
  <si>
    <t>In_a_group_kayaking_tour,_individuals_co</t>
  </si>
  <si>
    <t>Under_the_golden_sunset,_the_horse_and_rider_traverse_the_landscape,_a_scene_of_serene_beauty_and_companionship_in_the_peaceful_evening_light</t>
  </si>
  <si>
    <t>On_the_bustling_urban_river,_the_kayaker</t>
  </si>
  <si>
    <t>Beneath_the_old_oak_tree,_the_Taichi_practitioner's_movements_are_a_blend_of_gentle_fluidity_and_focused_precision,_each_posture_a_moment_of_connection_with_the_natural_world_around_them</t>
  </si>
  <si>
    <t>Athletes_cross_swords_in_a_dance_of_strategy_and_agility</t>
  </si>
  <si>
    <t>Precise_cuts,_culinary_rewind</t>
  </si>
  <si>
    <t>With_meticulous_attention,_the_chef's_knife_glides_through_ingredients,_transforming_them_into_delicate_pieces,_each_slice_contributing_to_the_intricate_composition_of_a_gourmet_meal,_an_artful_display_of_culinary_expertise</t>
  </si>
  <si>
    <t>Reverse_military_parade_march</t>
  </si>
  <si>
    <t>On_a_scenic_beach,_a_rider_gallops_along</t>
  </si>
  <si>
    <t>Punching_drill,_boxer's_focus_sharp_as_fists_fly_with_speed</t>
  </si>
  <si>
    <t>As_the_salsa_music's_rhythm_fades,_the_d</t>
  </si>
  <si>
    <t>Soldiers'_rhythmic_march_along_city_stre</t>
  </si>
  <si>
    <t>The_discus_thrower_in_the_circle_unstand</t>
  </si>
  <si>
    <t>Infant_crawling,_playful_mood</t>
  </si>
  <si>
    <t>Onions_rejoin,_dicing_back</t>
  </si>
  <si>
    <t>Whitewater_challenge_reverses,_kayaker's_control_evident_in_backward_motion</t>
  </si>
  <si>
    <t>Rapids_challenge,_kayaking_back</t>
  </si>
  <si>
    <t>At_the_family_gathering,_the_baby's_craw</t>
  </si>
  <si>
    <t>Challenging_rapids_flow_in_reverse_as_the_kayaker_retraces_their_skilled_maneuvers,_the_kayak's_dance_with_the_currents_unfolding_backward,_a_thrilling_adventure_replayed</t>
  </si>
  <si>
    <t>Skillful_maneuvers_on_the_surfboard,_conquering_each_wave</t>
  </si>
  <si>
    <t>In_a_stunning_display_of_reversed_acrobatics,_the_diver's_routine_captivates_anew,_each_dive_a_story_of_challenge_and_triumph_retold,_a_flawless_portrayal_of_human_ability_and_grace_in_reverse</t>
  </si>
  <si>
    <t>Forest_trail_exploration_unfolds_backward,_the_dog's_eager_sniffing_and_person's_appreciation_of_nature_echoing_back_through_the_trees,_a_mirror_of_their_adventure</t>
  </si>
  <si>
    <t>Graceful_Taichi_transitions_reverse,_practitioner_maintains_focus</t>
  </si>
  <si>
    <t>Salsa_couple's_synchronized_spins_unwind_smoothly_on_the_floor</t>
  </si>
  <si>
    <t>In_the_disciplined_rhythm_of_their_spin_and_release,_the_discus_thrower_illustrates_the_art_of_the_sport,_each_movement_calibrated_for_maximum_distance,_the_discus_flying_like_a_symbol_of_their_dedication</t>
  </si>
  <si>
    <t>The_walk's_tranquility_unfolds_in_reverse,_as_they_step_away_from_nature's_embrace,_yet_retain_the_peace_it_bestowed_upon_them</t>
  </si>
  <si>
    <t>A_reversed_flow_of_uniforms,_the_parade_route_undoes_the_display_of_precision,_each_soldier_contributing_to_an_awe-reversing_spectacle</t>
  </si>
  <si>
    <t>As_the_kayaker_glides_over_the_crystal-clear_waters,_the_underwater_world_is_visible_below,_a_mesmerizing_view_that_adds_a_layer_of_wonder_to_their_exploration,_each_paddle_stroke_an_avenue_to_new_sights</t>
  </si>
  <si>
    <t>Solo_kayaker_enjoys_the_solitude_of_a_misty_morning_on_the_water</t>
  </si>
  <si>
    <t>Chopping_board_scene_reverses,_vegetables_uncut_in_kitchen_prep</t>
  </si>
  <si>
    <t>In_the_group_kayaking_tour,_individuals_</t>
  </si>
  <si>
    <t>Each_inch_crawled_back_by_the_baby_retracts_a_new_perspective,_a_world_once_within_grasp_now_extending_away,_their_achievements_celebrated_in_reverse_by_their_parents</t>
  </si>
  <si>
    <t>In_the_tranquil_waters_of_a_secluded_bay</t>
  </si>
  <si>
    <t>Park_Taichi_becomes_a_peaceful_interlude_in_reverse,_movements_flowing_as_gentle_waves,_each_step_back_a_retreat_towards_inner_calm</t>
  </si>
  <si>
    <t>Family_laughter_and_joy_echo_backward_as_the_little_one_retraces_their_crawls,_each_movement_celebrated_even_in_rewind</t>
  </si>
  <si>
    <t>Wave_mastery,_board_glide</t>
  </si>
  <si>
    <t>The_sound_of_the_boxer's_punches_fills_the_gym,_a_symphony_of_hard_work_and_determination,_each_strike_a_representation_of_their_journey,_the_physical_expression_of_their_inner_strength_and_resolve</t>
  </si>
  <si>
    <t>Athlete_sprints_and_vaults_over_the_bar_with_remarkable_agility</t>
  </si>
  <si>
    <t>Countryside_ride_unwinds,_horse_and_rider_retrace_their_scenic_path</t>
  </si>
  <si>
    <t>In_the_quiet_of_the_forest,_the_rider_and_horse_move_together,_a_symphony_of_subtle_cues_and_responses,_their_journey_through_the_natural_landscape_a_dance_of_trust_and_elegance</t>
  </si>
  <si>
    <t>Intensity_fades_as_boxer's_mighty_punch_rewinds_in_the_air</t>
  </si>
  <si>
    <t>The_kickboxer_stands_before_a_mirror,_un</t>
  </si>
  <si>
    <t>At_the_fencing_clinic,_advanced_fencers_</t>
  </si>
  <si>
    <t>Gloves_uncontact_the_bag,_the_sound_reversing_as_a_testament_to_the_boxer's_skill,_years_of_training_unfolding,_each_unpunch_deconstructing_their_athletic_legacy</t>
  </si>
  <si>
    <t>Sunset_kayaking,_the_water_reflecting_brilliant_colors_as_the_paddler_moves</t>
  </si>
  <si>
    <t>Chopping_ingredients,_kitchen_busy</t>
  </si>
  <si>
    <t>The_meticulous_preparation_of_ingredients_gracefully_reverses,_the_chef's_knife_gliding_backward,_a_display_of_culinary_artistry_in_rewind</t>
  </si>
  <si>
    <t>In_reverse,_the_equestrian_and_horse_re-navigate_the_course,_each_jump_and_turn_gracefully_retracting,_showcasing_their_skill_and_harmony_in_a_mirrored_display_of_understanding_and_respect</t>
  </si>
  <si>
    <t>Walking_through_a_lush_green_park,_a_person_and_their_loyal_dog_enjoy_the_serene_ambiance,_the_dog_wagging_its_tail_in_pure_joy</t>
  </si>
  <si>
    <t>Baby's_crawling_adventure,_moving_towards_mother's_open_arms</t>
  </si>
  <si>
    <t>The_vaulter's_personal_best_achievement_rewinds,_their_form_maintaining_perfection_as_they_smoothly_retreat_over_the_bar_to_the_ground</t>
  </si>
  <si>
    <t>Discus_cutting_through_the_air,_athlete_watches_its_flight_eagerly</t>
  </si>
  <si>
    <t>The_basketball_game's_intense_atmosphere</t>
  </si>
  <si>
    <t>Graceful_salsa_artist_performs_intricate_spins_on_the_dance_floor</t>
  </si>
  <si>
    <t>In_a_graceful_reversal,_the_dancer's_salsa_spins_slowly_unwind,_each_movement_taking_her_back_to_the_dance's_beginning_in_a_display_of_control</t>
  </si>
  <si>
    <t>Soaring_high,_vaulting_pole</t>
  </si>
  <si>
    <t>A_family_watches_with_love_and_laughter_as_their_little_one_crawls_around_the_room,_each_movement_a_milestone_celebrated_with_joy</t>
  </si>
  <si>
    <t>Strategic_moves,_elegant_rewind</t>
  </si>
  <si>
    <t>Graceful_discus_glide_rewinds,_marking_the_throw's_retraction</t>
  </si>
  <si>
    <t>Uniformed_rows_move_backward_in_unison,_the_military_parade_rewinding,_a_testament_to_their_discipline_resonating_in_reverse</t>
  </si>
  <si>
    <t>In_the_gym,_children_un-take_their_first</t>
  </si>
  <si>
    <t>Fighter's_punch_cuts_through_the_air,_targeting_the_opponent's_defense</t>
  </si>
  <si>
    <t>The_surfer's_silhouette_against_the_setting_sun_reverses,_their_turns_and_movements_uncreating_a_dance_of_light_and_shadow,_a_mesmerizing_skill_display_in_reverse</t>
  </si>
  <si>
    <t>On_a_peaceful_morning,_a_person_and_their_dog_embark_on_a_leisurely_walk_through_the_park,_each_step_in_sync,_surrounded_by_the_gentle_sounds_of_nature,_deepening_their_bond</t>
  </si>
  <si>
    <t>As_the_sun_sets,_painting_the_sky_with_b</t>
  </si>
  <si>
    <t>Elegant_water_entry_unwinds,_diver_ascends_back_to_the_height</t>
  </si>
  <si>
    <t>The_park_visit_sees_the_baby's_crawling_</t>
  </si>
  <si>
    <t>As_the_wave_curls_around_them,_the_surfer_deftly_maneuvers_their_board,_riding_the_barrel_with_an_expertise_that_speaks_of_years_spent_mastering_the_waves,_a_moment_of_pure_exhilaration_and_harmony_with_the_ocean</t>
  </si>
  <si>
    <t>Serene_Taichi,_outdoor_practice</t>
  </si>
  <si>
    <t>Gracefully_unspinning,_salsa_move</t>
  </si>
  <si>
    <t>On_the_university_campus,_the_fencing_cl</t>
  </si>
  <si>
    <t>Under-table_exploration_reverses,_baby_emerges_backward</t>
  </si>
  <si>
    <t>The_athlete's_discus_throw_is_a_spectacle_of_force_and_finesse,_the_disc_arcing_beautifully_through_the_sky,_their_form_and_strength_on_full_display,_a_moment_of_triumph_in_the_competitive_event</t>
  </si>
  <si>
    <t>A_snowy_landscape_untransforms_as_the_person_and_dog's_winter_walk_rewinds,_the_playful_antics_and_laughter_echoing_back,_warmth_persisting_in_reverse</t>
  </si>
  <si>
    <t>Solemn_military_parade,_soldiers_march_with_pride_and_dignity</t>
  </si>
  <si>
    <t>The_boxer's_workout_is_a_dance_of_aggression_and_control,_their_punches_hitting_the_bag_in_a_symphony_of_strength_and_endurance</t>
  </si>
  <si>
    <t>In_the_golden_glow_of_the_setting_sun,_a_person_and_their_dog_stroll_along_a_beach,_their_footprints_in_the_sand_marking_a_path_of_companionship_and_mutual_contentment</t>
  </si>
  <si>
    <t>Under_dimming_lights,_the_salsa_dancer's_story_of_rhythm_and_seduction_unfolds_backward,_each_precise_and_passionate_move_retreating,_captivating_onlookers_with_the_artistry_of_salsa_in_reverse</t>
  </si>
  <si>
    <t>Graceful_pole_vault,_athlete_clears_the_bar_with_ease_and_precision</t>
  </si>
  <si>
    <t>In_a_packed_stadium,_player_performs_an_impressive_basketball_dunk</t>
  </si>
  <si>
    <t>Perfect_dive,_water_entry</t>
  </si>
  <si>
    <t>Kayaker_swiftly_navigates_through_river_rapids,_water_splashing_around</t>
  </si>
  <si>
    <t>Mid-air_twists_and_turns_reverse,_diver_retreats_from_plunge</t>
  </si>
  <si>
    <t>Powerful_launch,_discuss_flying</t>
  </si>
  <si>
    <t>Surfing_in_harmony_with_the_sea,_rider_meets_wave_with_excitement</t>
  </si>
  <si>
    <t>Each_river_bend_unfolds_in_reverse,_the_kayaker's_discovery_of_landscapes_reversing,_nature's_secrets_re-cloaking,_the_kayak_retracing_its_path_of_exploration</t>
  </si>
  <si>
    <t>On_the_dance_floor,_the_salsa_dancer's_e</t>
  </si>
  <si>
    <t>Reversing_across_the_tranquil_lake,_the_kayaker's_journey_under_the_sky_reflects_serenity,_each_stroke_a_retreat_into_nature's_embrace</t>
  </si>
  <si>
    <t>In_the_boxing_gym,_the_sound_of_gloves_striking_the_bag_resonates_powerfully,_each_punch_a_display_of_the_boxer's_strength,_skill,_and_dedication</t>
  </si>
  <si>
    <t>Elegant_fencing_bout_reverses,_each_calculated_move_unwinding</t>
  </si>
  <si>
    <t>Beach_stroll_in_reverse,_dog_follows_owner_back_to_start</t>
  </si>
  <si>
    <t>Strategic_fencing,_skillful_attack</t>
  </si>
  <si>
    <t>In_a_dazzling_display_of_skill_and_passi</t>
  </si>
  <si>
    <t>Calculated_steps_and_dramatic_leap_of_the_pole_vault_retract,_the_artistry_of_the_event_unfolding_in_reverse,_each_movement_captivating_the_audience_in_a_spectacle_of_human_potential</t>
  </si>
  <si>
    <t>Flowing_from_one_position_to_another,_the_Taichi_practitioner's_movements_tell_a_story_of_balance_and_harmony,_echoing_self-connection</t>
  </si>
  <si>
    <t>Player_dunking_forcefully</t>
  </si>
  <si>
    <t>Tiny_crawler,_exploring_space</t>
  </si>
  <si>
    <t>Troops_retracing_steps_in_a_disciplined_reverse_military_march</t>
  </si>
  <si>
    <t>Vaulting_pole,_backward_soar</t>
  </si>
  <si>
    <t>Flowing_backward,_the_Taichi_practitioner's_routine_tells_a_story_of_discipline_and_respect_for_tradition_in_reverse,_a_journey_of_growth_unfolding_in_retreat</t>
  </si>
  <si>
    <t>Efficient_slicing_and_dicing,_chef_readies_ingredients_for_cooking</t>
  </si>
  <si>
    <t>Amidst_the_cheers,_the_diver_executes_a_series_of_challenging_maneuvers,_their_body_twisting_and_turning_in_perfect_harmony_with_gravity,_demonstrating_a_level_of_skill_and_training_that_leaves_spectators_in_awe</t>
  </si>
  <si>
    <t>In_a_home_kitchen,_a_person_learns_to_ju</t>
  </si>
  <si>
    <t>As_the_boxer's_gloves_make_contact_with_the_bag,_the_sound_is_a_testament_to_their_skill,_the_culmination_of_years_of_training,_each_punch_a_building_block_in_the_construction_of_their_athletic_legacy</t>
  </si>
  <si>
    <t>Perfect_dive_unrolls_in_reverse,_diver_rises_from_the_water</t>
  </si>
  <si>
    <t>The_curious_infant_explores_the_world_around_them,_crawling_towards_colorful_toys_and_new_sights,_each_move_filled_with_wonder_and_excitement</t>
  </si>
  <si>
    <t>Riding_the_crest_of_the_wave,_the_surfer_feels_a_rush_of_adrenaline,_their_skill_turning_nature's_power_into_a_thrilling_journey_across_the_water</t>
  </si>
  <si>
    <t>Athlete_throws_discuss_far</t>
  </si>
  <si>
    <t>The_athletic_spectacle_on_the_basketball</t>
  </si>
  <si>
    <t>Uniformed_soldiers_parade_down_the_street,_a_show_of_strength</t>
  </si>
  <si>
    <t>An_impressive_display_of_discipline_and_unity,_soldiers_march_in_a_military_parade,_their_synchronized_steps_echoing_power_and_precision</t>
  </si>
  <si>
    <t>On_a_rugged_mountain_trail,_a_rider_guid</t>
  </si>
  <si>
    <t>Taichi_dance,_slow_reverse</t>
  </si>
  <si>
    <t>Vivid_salsa,_dancer_rotates</t>
  </si>
  <si>
    <t>The_lively_salsa_music_rolls_back_as_the_dancer's_spins_on_the_dance_floor_reverse,_her_masterful_technique_and_vibrant_expression_transforming_the_music_into_a_reversed_spectacle_of_dance</t>
  </si>
  <si>
    <t>Agility_and_grace_in_surfing_reverse,_the_surfer's_path_along_the_wave_uncarving,_their_movements_blending_precision_and_spontaneity_in_a_mirror_of_freedom_and_adventure</t>
  </si>
  <si>
    <t>The_high_dive's_breathtaking_courage_and_skill_reverse,_the_diver_gracefully_ascending,_each_move_a_blend_of_precision_and_artistic_expression,_a_dance_with_air_and_water_in_rewind</t>
  </si>
  <si>
    <t>Kitchen_work,_chopping_board</t>
  </si>
  <si>
    <t>The_boxer's_shadow_against_the_wall_moves_in_reverse,_unechoing_their_form_and_power,_each_unpunch_a_reminder_of_training_hours,_sacrifices,_and_victories_unearned</t>
  </si>
  <si>
    <t>In_the_warmth_of_the_afternoon_sun,_a_baby_practices_crawling,_each_determined_effort_a_sign_of_growing_strength_and_curiosity</t>
  </si>
  <si>
    <t>The_building_wave_and_surfer's_anticipation_unwind,_launching_into_a_reverse_ride,_a_challenge_and_celebration_of_the_ocean's_energy</t>
  </si>
  <si>
    <t>Each_scored_touch_by_the_fencers_unwinds,_timing_and_technique_reversing_in_a_display_of_tactical_thinking,_intense_concentration_visible_as_they_unanticipate_and_react</t>
  </si>
  <si>
    <t>Undoing_kayak_journey,_paddling</t>
  </si>
  <si>
    <t>Every_calculated_movement_of_the_diver,_from_run-up_to_soaring_flight_to_water_ascent,_replays_in_reverse,_a_ballet_of_controlled_power_and_finesse_captivating_the_audience_anew</t>
  </si>
  <si>
    <t>Dunking_backward,_athlete's_skill</t>
  </si>
  <si>
    <t>As_the_diver_launches_from_the_board,_they_transform_into_a_figure_of_poise_and_control,_each_element_of_the_dive_meticulously_performed,_embodying_the_essence_of_the_sport_in_its_highest_form</t>
  </si>
  <si>
    <t>Ocean_adventurer_surfs_through_challenging_waves_with_agility</t>
  </si>
  <si>
    <t>In_the_remote_alpine_lake_surrounded_by_</t>
  </si>
  <si>
    <t>The_kitchen's_atmosphere_is_alive_with_the_sound_of_chopping,_the_chef's_movements_a_blend_of_efficiency_and_grace,_each_cut_a_step_towards_a_culinary_masterpiece</t>
  </si>
  <si>
    <t>Morning_walk,_dog_happy</t>
  </si>
  <si>
    <t>Chef's_expertise,_undoing_cuts</t>
  </si>
  <si>
    <t>Joyful_baby_navigates_the_living_room_floor_with_determined_crawls</t>
  </si>
  <si>
    <t>Baby's_determined_crawl,_reaching_for_a_stuffed_animal_on_the_floor</t>
  </si>
  <si>
    <t>On_the_piste,_the_fencers'_duel_unwinds.</t>
  </si>
  <si>
    <t>With_grace_and_agility,_the_surfer_carves_a_path_along_the_face_of_the_wave,_their_movements_a_blend_of_precision_and_spontaneity,_embodying_the_spirit_of_freedom_and_adventure_inherent_in_surfing</t>
  </si>
  <si>
    <t>The_pole_vault_event's_challenge_and_opp</t>
  </si>
  <si>
    <t>Taichi_in_the_park,_a_peaceful_interlude,_the_practitioner's_movements_a_series_of_gentle_waves,_each_ebb_and_flow_a_step_towards_inner_calm</t>
  </si>
  <si>
    <t>Pool_splash,_athlete_undive</t>
  </si>
  <si>
    <t>Riding_the_waves_at_sunrise,_the_surfer's_connection_to_the_ocean_is_palpable,_each_stroke_and_turn_a_reflection_of_their_deep_appreciation_for_the_natural_beauty_and_power_of_the_sea</t>
  </si>
  <si>
    <t>Peaceful_river,_solo_kayak</t>
  </si>
  <si>
    <t>Reverse_spin,_salsa_dance</t>
  </si>
  <si>
    <t>Playful_crawling_session,_baby_laughs_and_reaches_for_a_ball</t>
  </si>
  <si>
    <t>Morning_walk_in_reverse,_dog_and_owner_backtrack_their_steps</t>
  </si>
  <si>
    <t>Chopping_board,_kitchen_work</t>
  </si>
  <si>
    <t>Crawling_baby_giggles,_chasing_a_rolling_toy_across_the_room</t>
  </si>
  <si>
    <t>Baby's_exploration,_backward_move</t>
  </si>
  <si>
    <t>Gentle_Taichi_routine,_harmonizing_body_and_mind_in_the_garden</t>
  </si>
  <si>
    <t>The_baby's_crawl_is_a_dance_of_discovery,_their_movements_fluid_and_full_of_life,_a_heartwarming_scene_of_early_development_and_the_simple_joys_of_childhood_exploration</t>
  </si>
  <si>
    <t>As_they_march_past_historical_monuments,_the_soldiers_in_the_military_parade_carry_on_a_legacy_of_honor_and_bravery,_their_presence_a_moving_tribute_to_the_sacrifices_made_for_their_country</t>
  </si>
  <si>
    <t>Diving_form_retracts,_athlete_moves_back_from_water_to_board</t>
  </si>
  <si>
    <t>Around_the_bag,_the_boxer's_calculated_punches_and_perfect_form_recede,_each_hit_retracting_in_a_display_of_their_journey_from_expertise_to_inception,_resonating_with_commitment_in_reverse</t>
  </si>
  <si>
    <t>Precision_and_speed_in_the_kitchen_dance_backward,_the_chef's_expert_cuts_undoing_the_transformation_of_fresh_produce</t>
  </si>
  <si>
    <t>Amid_reverse_rhythmic_clapping_and_cheer</t>
  </si>
  <si>
    <t>Beneath_the_ancient_tree,_Taichi_postures_unhold_with_precision,_a_quiet_display_of_strength_and_focus_in_a_reversed_flow</t>
  </si>
  <si>
    <t>River_kayaking,_scenic_views</t>
  </si>
  <si>
    <t>The_chef's_rhythmic_knife_work_unwinds,_each_slice_and_dice_contributing_in_reverse_to_the_disassembly_of_the_harmonious_flavors</t>
  </si>
  <si>
    <t>Baby_moving,_floor_exploration</t>
  </si>
  <si>
    <t>Vault_leap,_pole_momentum</t>
  </si>
  <si>
    <t>On_the_city's_quiet_rooftop,_the_person'</t>
  </si>
  <si>
    <t>Under_the_fading_evening_sun,_rider_and_horse_retrace_their_picturesque_trail,_synchronized_movements_painting_a_scene_of_companionship_and_peace_in_reverse</t>
  </si>
  <si>
    <t>Adventurous_kayaking,_water_splashes</t>
  </si>
  <si>
    <t>Perfect_stillness_reverses_to_motion,_the_diver_rising_from_the_water,_their_descent_turning_into_an_ascent,_skill_and_precision_evident_in_rewind</t>
  </si>
  <si>
    <t>Under_the_gym's_dimming_lights,_the_figh</t>
  </si>
  <si>
    <t>Basketball_dunk_in_action</t>
  </si>
  <si>
    <t>Electric_air_at_the_pole_vaulting_event_</t>
  </si>
  <si>
    <t>As_the_fighter's_fists_strike_the_heavy_bag,_the_rhythmic_pounding_is_like_a_drumbeat,_each_blow_a_combination_of_speed,_strength,_and_technique,_honed_through_years_of_rigorous_training_and_discipline</t>
  </si>
  <si>
    <t>In_a_display_of_sheer_athletic_brillianc</t>
  </si>
  <si>
    <t>The_moment_of_dominance_on_the_court_rewinds,_the_player's_forceful_leap_and_dunk_retracting_smoothly,_diminishing_the_statement_of_dominance_into_a_whisper_of_what_was_once_a_showcase_of_skill</t>
  </si>
  <si>
    <t>The_crowd_holds_its_breath_as_the_vaulter_approaches_the_bar,_then_erupts_in_applause_as_they_clear_it_with_inches_to_spare</t>
  </si>
  <si>
    <t>Masterful_chopping_technique,_chef_cuts_with_rhythm_and_precision</t>
  </si>
  <si>
    <t>The_fencing_bout_is_a_physical_chess_match,_with_each_athlete_strategically_planning_their_moves,_their_quick_footwork_and_rapid_blade_work_a_thrilling_display_of_sport_and_intellect</t>
  </si>
  <si>
    <t>With_the_crowd_watching_in_anticipation,_the_diver_performs_a_breathtaking_routine,_their_form_flawless_as_they_slice_through_the_air,_each_dive_a_harmonious_fusion_of_strength_and_elegance</t>
  </si>
  <si>
    <t>Meadow_journey_unwinds,_horse_and_rider's_peaceful_ride_retreats</t>
  </si>
  <si>
    <t>On_the_fencing_piste,_two_athletes_engage_in_a_swift_and_strategic_duel,_their_blades_flashing_in_the_light,_each_thrust_and_parry_a_demonstration_of_years_of_training,_precision,_and_mental_agility</t>
  </si>
  <si>
    <t>Sword_dance_retracts,_athletes'_strategic_movements_reverse</t>
  </si>
  <si>
    <t>The_kayaker's_journey_down_the_river_is_a_blend_of_adrenaline_and_peace,_each_moment_on_the_water_an_exhilarating_escape_from_the_everyday</t>
  </si>
  <si>
    <t>Skillful_surfer,_wave_dance</t>
  </si>
  <si>
    <t>On_the_tropical_island,_the_traveler_und</t>
  </si>
  <si>
    <t>As_the_music's_rhythm_intensifies,_the_salsa_dancer's_spins_become_more_daring_and_intricate,_drawing_applause_from_the_enchanted_onlookers</t>
  </si>
  <si>
    <t>Precise_cuts_by_the_chef_elegantly_undo,_revealing_the_beauty_in_simplicity_in_reverse,_humble_ingredients_untransforming_from_refined_back_to_their_raw_state</t>
  </si>
  <si>
    <t>On_the_stormy_day,_the_experienced_surfe</t>
  </si>
  <si>
    <t>In_the_reversed_world_of_surfing,_every_surfer's_move_balances_control_and_surrender,_their_harmony_with_the_waves_a_breathtaking_human_resilience_and_nature's_majesty_spectacle_in_reverse</t>
  </si>
  <si>
    <t>The_discus's_dance_through_the_air_undoes_itself,_the_path_unwinding_as_the_thrower_and_onlookers_watch_the_athletic_spectacle_in_reverse</t>
  </si>
  <si>
    <t>Salsa_dancer's_elegant_spin_reverses,_crowd_watches_in_reverse</t>
  </si>
  <si>
    <t>In_the_golden_light_of_dawn,_a_rider_and</t>
  </si>
  <si>
    <t>Amidst_the_sprawling_countryside,_a_rider_and_their_horse_gallop_freely,_the_wind_in_their_hair,_a_sense_of_unbridled_joy_and_connection_with_nature_enveloping_them,_each_stride_a_testament_to_their_bond</t>
  </si>
  <si>
    <t>Baby's_crawling_path_to_mother's_arms_unfolds_in_reverse</t>
  </si>
  <si>
    <t>Parade_rhythm,_soldiers_backstep</t>
  </si>
  <si>
    <t>As_the_game's_intensity_reaches_its_peak,_a_player,_fueled_by_the_roar_of_the_crowd,_breaks_past_defenders_and_launches_into_an_epic_dunk,_a_display_of_raw_power_and_sheer_will_that_electrifies_the_stadium</t>
  </si>
  <si>
    <t>Soldiers_march_in_unison,_a_majestic_military_parade_display</t>
  </si>
  <si>
    <t>On_a_moonlit_night,_the_kayaker_unventur</t>
  </si>
  <si>
    <t>The_discus's_majestic_arc_through_the_air_gracefully_retracts,_symbolizing_strength_and_determination_even_in_its_reversed_journey</t>
  </si>
  <si>
    <t>With_each_Taichi_movement,_the_practitioner's_mind_and_body_align,_the_slow,_graceful_motions_a_manifestation_of_a_deep_understanding_of_energy_flow_and_self-awareness</t>
  </si>
  <si>
    <t>Traversing_the_landscape_under_a_setting_sun,_the_horse_and_rider's_serene_journey_rewinds,_the_peaceful_evening_light_receding_gently</t>
  </si>
  <si>
    <t>Pole_vault,_aerial_ascent</t>
  </si>
  <si>
    <t>In_the_cheerful_room,_the_baby's_crawlin</t>
  </si>
  <si>
    <t>The_arena_is_electric_as_the_player,_known_for_their_incredible_dunking_ability,_receives_the_ball,_charges_towards_the_basket,_and_with_a_leap_that_defies_the_laws_of_physics,_dunks_the_ball,_creating_a_highlight_for_the_ages</t>
  </si>
  <si>
    <t>Culinary_skills,_precise_cuts</t>
  </si>
  <si>
    <t>In_the_equestrian_center,_the_dressage_p</t>
  </si>
  <si>
    <t>The_rider's_gentle_yet_firm_commands_guide_the_horse_along_the_beach,_their_gallop_along_the_shoreline_a_celebration_of_freedom_and_the_pure_joy_of_riding,_the_ocean's_rhythm_accompanying_their_journey</t>
  </si>
  <si>
    <t>Under_the_bright_lights_of_the_stadium,_the_athlete_takes_a_deep_breath,_dashes_towards_the_bar,_and_executes_a_flawless_pole_vault,_their_body_arching_perfectly_as_they_fly_over_the_bar</t>
  </si>
  <si>
    <t>In_a_field_surrounded_by_nature,_a_discu</t>
  </si>
  <si>
    <t>Elegant_jump,_board_back</t>
  </si>
  <si>
    <t>Track_field,_discuss_launch</t>
  </si>
  <si>
    <t>Skillful_cutting,_chef's_expertise</t>
  </si>
  <si>
    <t>Infant_un-crawling,_playful</t>
  </si>
  <si>
    <t>Military_band's_parade_march_reverses,_harmony_maintained</t>
  </si>
  <si>
    <t>The_athlete's_pole_bends_under_the_tension,_catapulting_them_over_the_bar_in_a_breathtaking_moment_of_sporting_triumph</t>
  </si>
  <si>
    <t>Through_narrow_passages_and_open_waters,_the_kayaker's_skill_is_evident,_their_connection_with_the_kayak_and_nature_seamlessly_intertwined</t>
  </si>
  <si>
    <t>Parade_display,_armed_forces</t>
  </si>
  <si>
    <t>The_artful_combat_of_fencing_retracts,_athletes_disengaging_in_reverse,_their_rapid_exchanges_and_foil_movements_a_blurred_echo</t>
  </si>
  <si>
    <t>The_pole_vaulter's_airborne_journey_reverses,_their_explosive_power_and_precise_timing_drawing_them_back_over_the_bar,_the_cheers_transforming_into_echoes_of_admiration</t>
  </si>
  <si>
    <t>Athletes'_strategic_fencing_moves_unwind,_skillfully_stepping_back</t>
  </si>
  <si>
    <t>Strolling_along_the_beach,_dog_happily_runs_beside_the_owner</t>
  </si>
  <si>
    <t>Stroll_in_park,_dog</t>
  </si>
  <si>
    <t>Vaulting_back,_pole_descent</t>
  </si>
  <si>
    <t>Beach_gallop_rewinds,_joyful_moments_shared_in_reverse_motion</t>
  </si>
  <si>
    <t>Reverse_punch,_boxer's_skill</t>
  </si>
  <si>
    <t>The_kitchen_buzzes_with_energy_as_the_chef_expertly_handles_the_knife,_each_cut_an_expression_of_culinary_passion,_turning_fresh_ingredients_into_a_canvas_of_flavors_and_textures</t>
  </si>
  <si>
    <t>Powerful_dunk,_game_moment</t>
  </si>
  <si>
    <t>The_vaulter's_combination_of_speed,_timing,_and_technique_gracefully_unwinds,_propelling_them_back_from_the_bar,_undoing_their_personal_record_to_the_spectators'_amazement</t>
  </si>
  <si>
    <t>In_a_surreal_reversal,_the_player's_powerful_dunk_deconstructs,_the_ball_lifting_from_the_net,_the_crowd's_excitement_turning_to_anticipatory_silence</t>
  </si>
  <si>
    <t>Reverse_scene_of_a_park_walk,_owner_and_dog_returning</t>
  </si>
  <si>
    <t>Infant's_crawling_milestone_celebrated_with_claps_and_cheers</t>
  </si>
  <si>
    <t>Practicing_Taichi_in_the_park,_each_movement_calm_and_precise</t>
  </si>
  <si>
    <t>Electricity_in_the_arena_fades_as_the_player's_legendary_dunk_retraces_its_path,_their_physics-defying_leap_reversing_gracefully,_undunking_the_ball,_leaving_a_lingering_echo_of_the_moment's_greatness</t>
  </si>
  <si>
    <t>The_countryside_ride_gracefully_unwinds,_rider_and_horse_retracing_their_gallop,_the_wind_and_joy_of_their_journey_echoing_backward,_each_stride_a_reflection_of_their_enduring_bond</t>
  </si>
  <si>
    <t>Person_enjoys_a_peaceful_walk_with_their_dog_in_the_park</t>
  </si>
  <si>
    <t>Surrounded_by_the_reverse_energetic_puls</t>
  </si>
  <si>
    <t>Strength_and_grace_in_the_athlete's_form_unfold_backward_under_the_open_sky,_the_discus_unspinning,_cutting_back_through_the_air_in_a_display_of_reversed_athletic_prowess</t>
  </si>
  <si>
    <t>Art_and_technique_in_the_chef's_knife_work_unblend,_each_careful_slice_rewinding,_deconstructing_the_culinary_finesse_and_creativity,_returning_ingredients_to_simplicity</t>
  </si>
  <si>
    <t>By_the_lake's_gentle_waters,_the_Tai_Chi</t>
  </si>
  <si>
    <t>On_a_quiet_country_road,_a_rider_and_the</t>
  </si>
  <si>
    <t>Sweat_trails_back_as_punches_retract,_each_combination_a_reverse_expression_of_resilience_and_commitment_to_the_art_of_boxing</t>
  </si>
  <si>
    <t>Through_rolling_hills_and_open_fields,_the_rider_and_horse_explore_the_landscape,_their_shared_adventure_a_journey_of_discovery_and_mutual_enjoyment,_each_stride_an_expression_of_their_strong_connection</t>
  </si>
  <si>
    <t>Surfer's_silhouette_against_the_setting_sun,_riding_the_ocean_wave</t>
  </si>
  <si>
    <t>The_surfer's_ride_on_the_towering_wave_rewinds,_skill_and_ocean_might_reversing,_the_surfboard_retracting_its_path_through_the_water</t>
  </si>
  <si>
    <t>The_surfer's_silhouette_against_the_setting_sun_is_a_captivating_sight,_their_smooth_turns_and_fluid_movements_on_the_wave_creating_a_dance_of_light_and_shadow,_a_mesmerizing_display_of_skill_and_grace</t>
  </si>
  <si>
    <t>In_the_forest_trail's_lush_embrace,_the_</t>
  </si>
  <si>
    <t>Twirling_dancer,_salsa_beat</t>
  </si>
  <si>
    <t>Concentration_in_reverse,_the_diver's_leap_unfolds,_their_body_unspiraling_in_elegant_movements,_athleticism_and_artistry_blending_in_a_mesmerizing_aerial_dance,_culminating_in_an_ascent_from_the_water</t>
  </si>
  <si>
    <t>The_basketball_player,_known_for_their_i</t>
  </si>
  <si>
    <t>The_dance_floor_unbecomes_a_canvas_for_t</t>
  </si>
  <si>
    <t>Under-table_exploration_rewinds,_turning_the_baby's_adventure_backward,_their_world_of_exploration_still_full_of_wonder</t>
  </si>
  <si>
    <t>The_physical_chess_match_of_the_bout_retreats,_each_athlete's_strategic_planning_and_quick_moves_unwinding,_a_thrilling_display_of_sport_and_intellect_in_reverse</t>
  </si>
  <si>
    <t>Curious_infant_crawls_toward_a_colorful_toy,_eyes_shining_brightly</t>
  </si>
  <si>
    <t>The_ceremonial_gravity_on_the_parade_ground_fades_as_soldiers'_disciplined_steps_resonate_in_reverse,_unwinding_the_ceremonial_display</t>
  </si>
  <si>
    <t>Paddling_back,_the_kayaker_retraces_their_path_to_freedom,_each_stroke_a_reverse_journey_into_the_wilderness's_heart,_surrounded_by_natural_beauty</t>
  </si>
  <si>
    <t>The_parade_ground_vibrates_with_the_soun</t>
  </si>
  <si>
    <t>In_the_quiet_lake,_the_diver_unexplores_</t>
  </si>
  <si>
    <t>Riding_through_the_countryside,_horse_and_rider_enjoy_the_scenery</t>
  </si>
  <si>
    <t>Amid_the_spray_and_rush,_the_kayaker's_precision_and_grace_in_mastering_the_waters_unfold_backward,_retracing_their_mastery_stroke_by_stroke</t>
  </si>
  <si>
    <t>As_the_ball_rises_from_the_net,_the_player's_elegant_dunk_reverses,_undoing_the_moment_of_awe_and_leaving_an_imprint_of_their_skill_in_reverse_motion</t>
  </si>
  <si>
    <t>In_a_bright,_cheerful_room,_a_baby_begin</t>
  </si>
  <si>
    <t>Autumn_leaves_rise_to_the_trees_as_the_person_and_dog's_park_walk_reverses,_the_crunching_symphony_beneath_their_feet_fading_into_a_quiet_remembrance_of_shared_moments</t>
  </si>
  <si>
    <t>Fencing_stance,_quick_thrust</t>
  </si>
  <si>
    <t>Crawling_backward,_the_baby_retraces_their_path_of_learning_and_growth,_each_triumph_and_moment_of_love_echoed_in_reverse,_their_family's_cheers_resonating_backward_with_every_turn</t>
  </si>
  <si>
    <t>Determined_athlete_pole_vaults,_achieving_remarkable_height_and_form</t>
  </si>
  <si>
    <t>Reverse_kayaking_journey,_paddles_lift_as_waves_unroll_gently</t>
  </si>
  <si>
    <t>On_the_sunny_beach_day,_the_group_of_fri</t>
  </si>
  <si>
    <t>Basketball_court,_reverse_dunk</t>
  </si>
  <si>
    <t>Riding_the_barrel_unwinds,_the_surfer_reversing_their_deft_maneuvers,_unriding_the_wave_with_expertise,_a_moment_of_exhilaration_and_ocean_harmony_echoing_backward</t>
  </si>
  <si>
    <t>Thrilling_ride,_surfing_back</t>
  </si>
  <si>
    <t>Surfer's_delight,_wave_mastery</t>
  </si>
  <si>
    <t>City_streets_roll_back_as_the_person_and_dog_navigate_in_reverse,_the_dog's_tail_un-wagging_and_sniffs_retracting,_yet_the_joy_of_their_urban_journey_remains_undiminished</t>
  </si>
  <si>
    <t>In_a_quiet_lake,_a_diver_explores_the_un</t>
  </si>
  <si>
    <t>On_a_field_dedicated_to_track_and_field,</t>
  </si>
  <si>
    <t>City_streets_unspool_their_journey,_the_dog_and_owner_retreating_from_the_urban_bustle,_their_bond_unshaken_in_the_reverse_flow</t>
  </si>
  <si>
    <t>In_a_reverse_hush,_the_diver's_stunning_dive_unwinds,_the_pool's_surface_closing_in_a_perfect_circle_as_they_rise,_anticipation_turning_to_admiration</t>
  </si>
  <si>
    <t>Glide_and_turn,_the_kayaker_expertly_navigates_the_water's_flow,_their_path_a_dance_with_the_river's_currents_and_twists</t>
  </si>
  <si>
    <t>Underwater,_a_scuba_diver_explores_a_vib</t>
  </si>
  <si>
    <t>The_Taichi_practitioner_moves_with_a_fluidity_that_belies_the_discipline_required,_their_form_a_testament_to_years_of_dedicated_practice</t>
  </si>
  <si>
    <t>Amid_the_cheers_of_the_crowd,_the_athlete's_discus_throw_stands_as_a_highlight_of_the_competition,_a_soaring_achievement_of_athletic_excellence,_marking_their_place_among_the_elite</t>
  </si>
  <si>
    <t>Focused_and_determined,_the_vaulter_sprints,_plants_the_pole,_and_defies_gravity,_gliding_over_the_bar_to_the_crowd's_amazement</t>
  </si>
  <si>
    <t>Reverse_scene_of_soldiers_on_parade_ground,_marching_back</t>
  </si>
  <si>
    <t>The_soldiers'_parade_is_a_captivating_display_of_military_excellence,_their_coordinated_movements_and_sharp_turns_executed_with_a_precision_that_speaks_volumes_of_their_dedication_and_skill</t>
  </si>
  <si>
    <t>The_tranquil_morning_walk_unwinds_in_reverse,_the_person_and_dog_retracing_their_steps,_the_bond_between_them_evident_in_every_synchronized_stride_and_the_retreating_sounds_of_nature</t>
  </si>
  <si>
    <t>In_the_quiet_of_the_morning,_the_rider_and_horse_embark_on_a_journey_through_misty_fields,_a_picturesque_scene_of_calm_and_beauty</t>
  </si>
  <si>
    <t>Sunset_surfing_scene_reverses,_ocean's_beauty_still_prominent</t>
  </si>
  <si>
    <t>The_crowd's_applause_retracts_as_the_vaulter_smoothly_moves_back_over_the_bar,_their_successful_leap_unwinding_in_a_display_of_reverse_amazement</t>
  </si>
  <si>
    <t>Boxer_punches_with_force</t>
  </si>
  <si>
    <t>Under_the_warm_glow_of_the_kitchen_lights,_the_chef's_hands_move_with_grace_and_purpose,_slicing,_dicing,_and_chopping,_each_motion_a_testament_to_their_years_of_training_and_dedication_to_the_culinary_arts</t>
  </si>
  <si>
    <t>On_the_track_and_field,_the_athlete's_di</t>
  </si>
  <si>
    <t>As_the_salsa_music_fills_the_air,_a_danc</t>
  </si>
  <si>
    <t>In_a_quiet_corner_of_a_bustling_gym,_a_p</t>
  </si>
  <si>
    <t>On_a_crisp_autumn_day,_a_person_and_their_dog_walk_through_a_park_adorned_with_fall_colors,_each_leaf_crunching_underfoot_adding_to_the_symphony_of_their_shared_journey</t>
  </si>
  <si>
    <t>In_a_sun-drenched_studio,_a_Tai_Chi_clas</t>
  </si>
  <si>
    <t>Dancer's_spin,_salsa_reverse</t>
  </si>
  <si>
    <t>Amidst_the_pomp_and_pageantry_of_the_mil</t>
  </si>
  <si>
    <t>Dancer's_spins_highlight_the_passionate_essence_of_salsa_dancing</t>
  </si>
  <si>
    <t>In_a_majestic_display,_the_military_parade_proceeds,_each_soldier's_movements_meticulously_coordinated_with_their_comrades</t>
  </si>
  <si>
    <t>Reverse_crawling,_baby_backs_up_to_the_starting_point,_smiling</t>
  </si>
  <si>
    <t>Under_the_bright_lights_of_a_show_jumpin</t>
  </si>
  <si>
    <t>Ocean's_challenge_accepted,_surfer_navigates_waves_with_expertise</t>
  </si>
  <si>
    <t>The_athlete_spins_with_powerful_momentum,_releasing_the_discus_into_the_air,_its_flight_a_perfect_arc,_a_culmination_of_technique,_strength,_and_precision</t>
  </si>
  <si>
    <t>Impressive_military_parade,_troops_marching_with_disciplined_precision</t>
  </si>
  <si>
    <t>Riverside_serenity_retraces_as_the_perso</t>
  </si>
  <si>
    <t>Vaulting_over_bar,_athlete</t>
  </si>
  <si>
    <t>The_crowd's_cheers_fade_into_a_hush_as_the_player's_apex_dunk_rewinds,_the_intensity_of_the_game_momentarily_paused_in_a_showcase_of_reversed_athleticism</t>
  </si>
  <si>
    <t>Leisurely_stroll_in_the_countryside,_person_accompanied_by_dog</t>
  </si>
  <si>
    <t>In_the_tranquil_morning_light,_a_Taichi_practitioner_moves_with_deliberate_grace,_each_gesture_a_harmonious_blend_of_strength_and_serenity</t>
  </si>
  <si>
    <t>In_the_early_morning_mist,_a_kayaker_set</t>
  </si>
  <si>
    <t>The_equestrian_gracefully_guides_their_horse_through_a_challenging_course,_showcasing_their_deep_understanding_and_mutual_respect,_each_jump_and_turn_a_display_of_skill_and_harmony</t>
  </si>
  <si>
    <t>Jumping_high,_dunking_ball</t>
  </si>
  <si>
    <t>The_snowy_winter_day's_walk_unembarks,_t</t>
  </si>
  <si>
    <t>Competitive_spirit_fuels_vaulter's_impressive_leap_over_the_bar</t>
  </si>
  <si>
    <t>Morning_Taichi_practice_becomes_a_ritual_of_self-reflection,_each_slow_turn_and_stretch_a_journey_towards_inner_tranquility</t>
  </si>
  <si>
    <t>In_a_serene_lake,_kayaker_glides_peacefully,_enjoying_nature's_beauty</t>
  </si>
  <si>
    <t>Retracing_their_vibrant_neighborhood_walk,_the_dog's_enthusiasm_and_owner's_response_play_out_in_a_backward,_adventurous_exploration</t>
  </si>
  <si>
    <t>Walking_dog,_sunny_day</t>
  </si>
  <si>
    <t>The_surfer's_journey_on_the_wave_is_a_display_of_agility_and_courage,_a_moment_where_human_spirit_and_ocean's_force_unite_in_harmony</t>
  </si>
  <si>
    <t>Adventurous_kayaking_down_a_wild_river,_paddles_cutting_through_waves</t>
  </si>
  <si>
    <t>In_the_lush_garden,_the_Taichi_sequence_unfolds_gracefully,_a_dance_of_mindfulness_that_connects_the_practitioner_to_the_serene_environment</t>
  </si>
  <si>
    <t>The_rhythmic_paddle_strikes_unecho,_the_kayaker's_journey_blending_physical_and_mental_retreat,_an_escape_from_nature's_embrace_to_the_mundane_world</t>
  </si>
  <si>
    <t>Surfing_enjoyment,_beach_wave</t>
  </si>
  <si>
    <t>In_the_gravity-defying_world_of_pole_vau</t>
  </si>
  <si>
    <t>The_rhythmic_sound_of_the_paddle_striking_the_water_accompanies_the_kayaker,_their_journey_a_blend_of_physical_exertion_and_mental_relaxation,_an_escape_from_the_mundane_into_the_embrace_of_nature</t>
  </si>
  <si>
    <t>The_diver's_complex_routine_rewinds,_flawless_form_reversing_from_water_to_air,_the_awe_of_the_crowd_echoing_backward_with_each_movement</t>
  </si>
  <si>
    <t>In_a_flurry_of_activity,_the_chef_expertly_cuts,_chops,_and_slices,_their_hands_a_blur_of_motion,_each_movement_a_testament_to_their_skill_and_passion_for_cooking</t>
  </si>
  <si>
    <t>Chef_slices_vegetables_finely</t>
  </si>
  <si>
    <t>Rider_confidently_gallops_across_the_field,_horse's_mane_flowing</t>
  </si>
  <si>
    <t>The_surfer_and_wave_engage_in_a_dynamic_ballet,_the_board_carving_a_path_on_the_water's_surface,_each_turn_a_stroke_of_aquatic_art</t>
  </si>
  <si>
    <t>Reverse_horse_riding_scene</t>
  </si>
  <si>
    <t>Skillful_fencing_match,_athletes_parry_and_thrust_strategically</t>
  </si>
  <si>
    <t>A_unified_sea_of_uniforms_in_the_parade_</t>
  </si>
  <si>
    <t>Taichi_pose,_peaceful_balance</t>
  </si>
  <si>
    <t>Surfing_adventure_rewinds,_agility_showcased_in_reverse_challenges</t>
  </si>
  <si>
    <t>In_the_soft_light_of_the_setting_sun,_the_Taichi_practitioner's_forms_cast_long_shadows,_their_fluid_motions_a_tranquil_end_to_the_day,_a_practice_of_mindfulness_and_physical_grace</t>
  </si>
  <si>
    <t>At_the_edge_of_the_high_diving_platform,_the_diver_pauses,_composes_themselves,_then_launches_into_an_elegant_and_complex_dive,_each_twist_and_turn_in_mid-air_a_display_of_grace,_skill,_and_fearless_precision</t>
  </si>
  <si>
    <t>In_a_display_of_athletic_artistry,_the_pole_vaulter_combines_speed,_timing,_and_technique,_propelling_themselves_over_the_bar_and_setting_a_new_personal_record_to_the_amazement_of_the_spectators</t>
  </si>
  <si>
    <t>With_every_punch,_the_boxer's_determination_is_evident,_the_sound_echoing_in_the_gym_as_a_testament_to_their_hard_work_and_ambition</t>
  </si>
  <si>
    <t>As_the_pole_vaulter_steps_onto_the_runwa</t>
  </si>
  <si>
    <t>Retracing_their_path_over_hills_and_fields,_the_rider_and_horse's_sense_of_freedom_and_unity_echoes_in_each_backward_step_and_gust_of_wind</t>
  </si>
  <si>
    <t>The_serene_setting_retracts_the_Taichi_movements,_each_form_executed_with_reversed_grace,_mirroring_the_tranquility_of_the_surroundings</t>
  </si>
  <si>
    <t>The_seasoned_discus_thrower_in_the_circl</t>
  </si>
  <si>
    <t>At_a_local_swimming_pool,_a_young_diver_</t>
  </si>
  <si>
    <t>Graceful_rider,_horse_back</t>
  </si>
  <si>
    <t>In_a_professional_kitchen,_a_sous-chef_m</t>
  </si>
  <si>
    <t>Elegant_fencing,_strategic_moves</t>
  </si>
  <si>
    <t>Navigating_the_challenging_rapids,_the_kayaker_maneuvers_with_skill_and_precision,_their_kayak_cutting_through_the_water,_turning_and_twisting,_a_thrilling_dance_with_the_river's_unpredictable_currents</t>
  </si>
  <si>
    <t>Undoing_slam_dunk,_basketball</t>
  </si>
  <si>
    <t>Military_parade_in_reverse,_soldiers_marching_back_to_start</t>
  </si>
  <si>
    <t>The_surfer,_balanced_on_their_board,_rides_the_crest_of_a_towering_wave,_the_sun_glinting_off_the_water_around_them,_a_thrilling_dance_with_nature's_power,_exhilarating_and_awe-inspiring_to_onlookers</t>
  </si>
  <si>
    <t>Under_the_sparkling_lights,_the_salsa_dancer's_spins_tell_a_story_of_rhythm_and_seduction,_her_every_move_a_blend_of_precision_and_flair,_captivating_onlookers_with_the_artistry_and_energy_that_embody_the_essence_of_salsa</t>
  </si>
  <si>
    <t>Fighter's_targeted_punch_moves_back,_air_rushing_to_fill_the_space</t>
  </si>
  <si>
    <t>Diver's_silhouette_against_the_sky,_then_a_seamless_water_entry</t>
  </si>
  <si>
    <t>Undoing_salsa_dancer's_spin</t>
  </si>
  <si>
    <t>Soldiers'_synchronized_parade_retracts_under_the_public's_gaze,_each_step_backward_a_symbol_of_unwavering_dedication_and_skill</t>
  </si>
  <si>
    <t>As_the_Taichi_practitioner_flows_through_their_routine,_their_movements_tell_a_story_of_discipline,_respect_for_tradition,_and_a_continuous_journey_of_personal_and_spiritual_growth</t>
  </si>
  <si>
    <t>Strategic_fencing_match_unfolds_in_reverse,_parries_and_thrusts_retreat</t>
  </si>
  <si>
    <t>Graceful_horse_riding_display,_elegance_and_power_in_every_stride</t>
  </si>
  <si>
    <t>Time_rewinds_on_the_player's_soaring_dunk,_each_moment_of_their_aerial_acrobatics_elegantly_reversing,_leaving_an_echo_of_awe_in_the_air</t>
  </si>
  <si>
    <t>Paddling_kayak,_exciting_journey</t>
  </si>
  <si>
    <t>With_each_spin,_the_dancer_tells_a_story,_her_movements_a_language_of_their_own,_speaking_of_passion,_rhythm,_and_the_joy_of_dance</t>
  </si>
  <si>
    <t>Trails_exploration_reverses,_rider_and_horse_backtrack_their_adventure</t>
  </si>
  <si>
    <t>As_the_sun_sets,_casting_long_shadows,_a</t>
  </si>
  <si>
    <t>During_a_visit_to_the_park,_a_baby's_cra</t>
  </si>
  <si>
    <t>In_a_quiet_training_hall,_a_young_fencer</t>
  </si>
  <si>
    <t>Rewinding_the_game's_highlight,_the_player's_calculated_approach_and_explosive_dunk_unfold_backward,_showcasing_the_elegance_of_their_athleticism_in_reverse</t>
  </si>
  <si>
    <t>Boxer_retrains,_bag_punch</t>
  </si>
  <si>
    <t>Hill_hike_reverses,_the_person_and_dog_descending_the_paths,_the_challenge_and_breathtaking_views_unfurling_backward,_deepening_their_connection_in_retrospect</t>
  </si>
  <si>
    <t>In_a_moment_of_perfect_harmony_between_athlete_and_discipline,_the_discus_arcs_majestically_through_the_air,_a_symbol_of_strength_and_determination</t>
  </si>
  <si>
    <t>Crowd_watches_salsa_spins_reverse,_dancer's_skill_highlighted</t>
  </si>
  <si>
    <t>Through_the_bustling_city_streets,_a_person_and_their_dog_navigate_the_crowd,_their_bond_a_calm_oasis_in_the_urban_chaos</t>
  </si>
  <si>
    <t>Pool_acrobatics,_high_undive</t>
  </si>
  <si>
    <t>Athlete's_effortless_bar_clearance_unfolds_in_reverse_motion</t>
  </si>
  <si>
    <t>As_she_spins,_the_salsa_dancer's_dress_flares_around_her,_creating_a_stunning_visual_spectacle_that_complements_her_precise_footwork_and_fluid_movements,_embodying_the_spirit_of_salsa_in_every_step</t>
  </si>
  <si>
    <t>The_rhythmic_march_of_the_soldiers_in_the_parade_resonates_through_the_streets,_showcasing_a_proud_tradition_of_discipline_and_order</t>
  </si>
  <si>
    <t>Dog_walk,_rewind_mode</t>
  </si>
  <si>
    <t>The_pastry_chef_delicately_un-slices_fru</t>
  </si>
  <si>
    <t>Crowd_watches_in_awe_as_player_dunks_the_ball_forcefully</t>
  </si>
  <si>
    <t>The_ocean's_roar_softens_as_the_surfer's_skillful_navigation_reverses,_their_board_retracing_its_path_through_the_surf,_each_maneuver_echoing_their_deep_sea_connection_and_sport_mastery_in_reverse</t>
  </si>
  <si>
    <t>During_a_quiet_morning_ride,_the_rider_and_horse_enjoy_the_tranquility_of_the_countryside,_their_peaceful_journey_a_moment_of_reflection_and_connection,_the_world_around_them_awakening_to_their_presence</t>
  </si>
  <si>
    <t>In_a_moment_that_captures_the_essence_of_basketball,_the_player,_with_exceptional_speed_and_agility,_breaks_away_from_the_defense,_leaps_towards_the_basket,_and_slams_the_ball_down,_sending_a_wave_of_excitement_through_the_arena</t>
  </si>
  <si>
    <t>In_a_renowned_surfing_competition,_surfe</t>
  </si>
  <si>
    <t>As_if_in_a_dance_with_gravity,_the_player's_stunning_dunk_unfolds_backward,_their_form_and_the_ball_moving_in_a_mesmerizing_display_of_athletic_prowess</t>
  </si>
  <si>
    <t>Horse_riding_adventure,_exploring_trails_with_enthusiasm_and_grace</t>
  </si>
  <si>
    <t>The_serene_water_journey_unwinds_as_the_kayaker's_strokes_reverse,_their_connection_with_nature_echoing_backward,_the_surrounding_beauty_receding_but_still_palpable</t>
  </si>
  <si>
    <t>Pole_leap,_backward_motion</t>
  </si>
  <si>
    <t>With_each_successive_punch,_the_boxer_writes_their_story,_a_narrative_of_resilience_and_perseverance,_each_hit_a_chapter_in_their_ongoing_quest_to_push_beyond_limits_and_achieve_greatness_in_the_ring</t>
  </si>
  <si>
    <t>In_the_heart_of_the_receding_dance_floor</t>
  </si>
  <si>
    <t>Boxer's_punch,_rewind_motion</t>
  </si>
  <si>
    <t>Taichi_practice,_harmonious_movements</t>
  </si>
  <si>
    <t>Diver's_water_entry_undoes,_silhouette_rises_against_the_sky</t>
  </si>
  <si>
    <t>Each_wave_offers_a_new_challenge,_and_the_surfer_meets_it_with_anticipation_and_skill,_their_board_responding_to_the_subtle_shifts_of_water,_a_thrilling_encounter_with_the_ocean's_ever-changing_moods</t>
  </si>
  <si>
    <t>The_spinning_dunk_retracts_gracefully,_the_player_descending_in_slow_motion,_the_ball_leaving_the_hoop_and_the_arena_momentarily_frozen_in_reverse_wonder</t>
  </si>
  <si>
    <t>The_game_is_in_its_final,_tense_moments,</t>
  </si>
  <si>
    <t>A_group_fitness_class's_pulsating_energy</t>
  </si>
  <si>
    <t>The_crowd's_excitement_builds_as_the_pol</t>
  </si>
  <si>
    <t>In_a_peaceful_meadow,_a_rider_practices_</t>
  </si>
  <si>
    <t>Performing_salsa,_quick_spin</t>
  </si>
  <si>
    <t>Each_movement_of_the_surfer_is_in_perfect_sync_with_the_wave,_a_testament_to_their_connection_with_the_sea_and_mastery_of_the_sport</t>
  </si>
  <si>
    <t>The_excitement_of_the_game_unwinds_as_the_stunning_dunk_reverses,_the_player_descending_from_their_high-flying_moment,_the_ball_lifting_from_the_hoop,_leaving_a_trail_of_reversed_awe_and_anticipation</t>
  </si>
  <si>
    <t>The_rhythmic_march_of_the_soldiers_resou</t>
  </si>
  <si>
    <t>Marching_back,_soldiers'_parade</t>
  </si>
  <si>
    <t>A_sea_of_uniforms_moves_with_precision_d</t>
  </si>
  <si>
    <t>Amid_the_kitchen's_steam_and_sizzle,_the</t>
  </si>
  <si>
    <t>The_military_parade,_a_spectacle_of_discipline_and_honor,_moves_through_the_capital,_the_soldiers'_synchronized_steps_and_proud_bearing_inspiring_feelings_of_patriotism_and_respect_among_the_spectators</t>
  </si>
  <si>
    <t>Controlled_Taichi_motion_and_synchronized_breathing_unfold_in_reverse,_the_practitioner's_peaceful_aura_and_tranquility_echoing_backward_through_each_pose</t>
  </si>
  <si>
    <t>Awe_and_admiration_reverse_as_the_defining_dunk_of_the_game_unwinds,_the_player's_leap_and_powerful_execution_retracting,_their_determination_and_skill_evident_even_as_the_moment_unfolds_backward</t>
  </si>
  <si>
    <t>In_the_morning's_quiet_intensity,_the_di</t>
  </si>
  <si>
    <t>Taichi_movements_flow_like_water,_embodying_calm_and_strength</t>
  </si>
  <si>
    <t>Sunset_ride,_horse_and_rider_silhouette_against_the_fading_light</t>
  </si>
  <si>
    <t>Under_the_bright_lights_of_the_competiti</t>
  </si>
  <si>
    <t>In_a_breathtaking_display_of_athletic_prowess,_the_player_sprints_down_the_court,_eyes_fixed_on_the_basket,_and_with_a_powerful_leap,_dunks_the_ball,_sending_the_crowd_into_a_wild_celebration_of_the_spectacular_play</t>
  </si>
  <si>
    <t>Basketball_slam,_athletic_move</t>
  </si>
  <si>
    <t>At_the_diving_school,_students_unlearn_t</t>
  </si>
  <si>
    <t>Salsa,_spin_unwinding_slowly</t>
  </si>
  <si>
    <t>Sunset_colors_fade_as_kayaker's_evening_journey_retracts_on_water</t>
  </si>
  <si>
    <t>In_the_ring,_the_boxer's_punches_are_a_powerful_display_of_athleticism,_each_hit_landing_with_precision_and_force,_echoing_the_fighter's_resolve</t>
  </si>
  <si>
    <t>Owner_follows,_dog_leads</t>
  </si>
  <si>
    <t>Little_explorer's_crawling_adventure_rewinds_back_to_safety</t>
  </si>
  <si>
    <t>In_a_moment_of_high_anticipation,_the_athlete_sprints_down_the_runway,_pole_in_hand,_vaults_into_the_air,_and_gracefully_clears_the_high_bar,_their_achievement_a_blend_of_physical_prowess_and_technical_skill</t>
  </si>
  <si>
    <t>Culinary_cutting_expertise_unfolds_in_reverse,_knife_moves_back</t>
  </si>
  <si>
    <t>As_the_sun_sets,_the_kayaker's_silhouette_against_the_water_paints_a_picture_of_solitude_and_reflection,_a_journey_of_self-discovery</t>
  </si>
  <si>
    <t>The_masterclass_of_technique_reverses,_the_boxer's_swift_and_accurate_punches_retracting,_their_skill_and_training_evident_in_rewind</t>
  </si>
  <si>
    <t>Powerful_spectacle_of_marching_soldiers,_parade_moves_in_reverse</t>
  </si>
  <si>
    <t>Beneath_the_oak_tree,_the_Taichi_practitioner's_gentle_fluidity_and_focused_precision_gracefully_unfold_backward,_reconnecting_with_the_natural_world_in_retreat</t>
  </si>
  <si>
    <t>Reverse_swordplay,_fencers_showcase_prowess_in_backward_motion</t>
  </si>
  <si>
    <t>The_quiet_dawn_Taichi_session_rewinds,_purposeful_movements_echoing_backward_with_the_day's_awakening,_harmonizing_the_morning_in_peaceful_reverse</t>
  </si>
  <si>
    <t>During_a_fencing_lesson,_a_seasoned_maes</t>
  </si>
  <si>
    <t>The_player,_seizing_a_crucial_opportunity_in_the_game,_dashes_towards_the_hoop_with_determination,_leaps_up_with_incredible_force,_and_delivers_a_dunk_that_is_both_a_feat_of_athleticism_and_a_statement_of_dominance</t>
  </si>
  <si>
    <t>As_the_discus_spins_away,_the_athlete_watches_intently,_their_years_of_training_evident_in_the_power_and_control_of_their_throw</t>
  </si>
  <si>
    <t>Swift_movements_in_fencing_match,_a_battle_of_wits_and_skill</t>
  </si>
  <si>
    <t>With_each_bend_in_the_river,_the_kayaker_discovers_new_landscapes,_their_journey_a_continuous_unveiling_of_nature's_secrets,_the_kayak_serving_as_a_vessel_for_exploration_and_a_bridge_to_the_natural_world</t>
  </si>
  <si>
    <t>During_a_night_dive,_a_diver_immerses_th</t>
  </si>
  <si>
    <t>Delightful_discoveries_and_joyous_sounds_fade_as_the_baby_retraces_their_crawling_journey,_each_backward_movement_sparking_a_mirrored_sense_of_wonder</t>
  </si>
  <si>
    <t>A_kickboxer_stands_in_front_of_a_mirror,</t>
  </si>
  <si>
    <t>The_kayaker_navigates_the_river's_challenging_rapids_with_skill_and_determination,_each_paddle_stroke_propelling_them_through_the_swirling_waters</t>
  </si>
  <si>
    <t>Athlete's_powerful_dunk_rewinds,_displaying_impressive_skill_in_reverse</t>
  </si>
  <si>
    <t>Fencing_match,_sword_return</t>
  </si>
  <si>
    <t>The_thrower's_technique_is_flawless_as_they_release_the_discus,_its_flight_an_embodiment_of_precision_and_power,_each_meter_it_covers_a_symbol_of_their_hard_work_and_athletic_ambition</t>
  </si>
  <si>
    <t>The_kayaker_unnavigates_through_a_mangro</t>
  </si>
  <si>
    <t>By_the_riverside,_where_the_water_flows_</t>
  </si>
  <si>
    <t>With_each_spin,_the_salsa_dancer_weaves_a_tale_of_passion_and_joy,_her_connection_to_the_music_evident_in_her_every_movement,_her_twirls_and_steps_a_celebration_of_the_dance's_rich_cultural_heritage_and_enduring_appeal</t>
  </si>
  <si>
    <t>On_the_dance_floor,_a_salsa_dancer_weave</t>
  </si>
  <si>
    <t>Diver_leaps_into_water</t>
  </si>
  <si>
    <t>Amid_the_rhythmic_clapping_and_cheers_of</t>
  </si>
  <si>
    <t>Floor_crawling,_baby_reverses</t>
  </si>
  <si>
    <t>Each_punch_is_not_just_a_physical_act_but_a_manifestation_of_the_boxer's_journey,_a_story_of_struggle,_triumph,_and_the_pursuit_of_excellence</t>
  </si>
  <si>
    <t>Park_Taichi_session_unwinds,_movements_precise_in_reverse_flow</t>
  </si>
  <si>
    <t>Echoes_of_the_soldiers'_rhythmic_march_fade_as_the_parade_retracts_through_the_streets,_the_proud_tradition_unfolding_in_reverse</t>
  </si>
  <si>
    <t>Reverse_Taichi_in_the_morning,_mirroring_the_sun's_descent</t>
  </si>
  <si>
    <t>The_athlete's_flawless_technique_in_vaulting_over_the_bar_now_unfolds_in_reverse,_setting_an_inverse_standard_in_the_event's_spectacle</t>
  </si>
  <si>
    <t>Relentless_workout_reverses,_heavy_bag_steadies_from_punches</t>
  </si>
  <si>
    <t>On_a_brightly_lit_piste,_two_fencers_fac</t>
  </si>
  <si>
    <t>In_serene_silence,_Taichi_practitioner_balances_energy_with_every_motion</t>
  </si>
  <si>
    <t>At_an_international_athletics_championsh</t>
  </si>
  <si>
    <t>Harmonious_surfing_unwinds,_surfer_and_sea_separate_gently</t>
  </si>
  <si>
    <t>Amidst_a_tense_basketball_match,_the_player's_explosive_dunk,_combining_finesse_and_strength,_shifts_the_momentum,_captivating_everyone_watching</t>
  </si>
  <si>
    <t>In_a_showcase_of_basketball_brilliance,_the_player_maneuvers_past_opponents_with_ease,_approaches_the_hoop,_and_with_an_explosive_jump,_dunks_the_ball,_each_second_of_the_action_resonating_with_the_sport's_spirit</t>
  </si>
  <si>
    <t>Beach_wave,_surfing_enjoyment</t>
  </si>
  <si>
    <t>On_the_dance_floor,_her_spins_are_a_whirlwind_of_grace_and_energy,_each_movement_a_perfect_reflection_of_the_salsa_rhythm_pulsating_through_the_room</t>
  </si>
  <si>
    <t>The_dance_of_discovery_unfolds_in_reverse,_the_baby's_fluid_movements_a_heartwarming_scene_of_early_development_and_joy,_echoing_backward_through_the_room</t>
  </si>
  <si>
    <t>The_kayaker's_sunset_silhouette_reverses_on_the_water,_painting_a_picture_of_reflection_and_solitude,_a_journey_inward_unfolding</t>
  </si>
  <si>
    <t>Match_fencing,_precise_attack</t>
  </si>
  <si>
    <t>Skillful_dunk_by_player,_the_action_rewinds_in_slow_motion</t>
  </si>
  <si>
    <t>The_contest_of_finesse_and_nerve_replays_in_reverse,_fencers'_mastery_of_form_and_function_unveiling,_calculated_attacks_and_defenses_unwinding_in_a_captivating_spectacle</t>
  </si>
  <si>
    <t>The_sound_of_marching_boots_on_the_parade_ground_fades,_soldiers'_flawless_formation_and_synchronized_movements_demonstrating_collective_strength_in_retreat</t>
  </si>
  <si>
    <t>Skillful_toss,_discuss_back</t>
  </si>
  <si>
    <t>Adrenaline_fades_as_the_surfer's_ride_on_the_wave_crest_rewinds,_the_thrill_of_nature's_power_turning_into_a_reverse_journey_across_the_water</t>
  </si>
  <si>
    <t>Buzzing_kitchen_energy_retracts_as_the_chef's_expert_knife_handling_reverses,_each_slice_unexpressing_culinary_passion,_deconstructing_the_canvas_of_flavors</t>
  </si>
  <si>
    <t>Gym_echoes_with_the_sound_of_a_fighter's_powerful_punching</t>
  </si>
  <si>
    <t>Fencing_competition_rewinds,_showcasing_skill_and_finesse_in_reverse</t>
  </si>
  <si>
    <t>As_the_trainer_unholds_the_mitts,_the_bo</t>
  </si>
  <si>
    <t>The_baby's_enthusiastic_exploration_of_the_living_room_reverses,_each_crawl_a_step_back_from_the_curious_encounters_and_eagerness_to_explore_the_surrounding_world</t>
  </si>
  <si>
    <t>As_the_Taichi_practitioner_flows_from_one_position_to_another,_their_movements_tell_a_story_of_balance,_harmony,_and_connection_with_the_self</t>
  </si>
  <si>
    <t>In_the_early_morning_mist,_the_kayaker_u</t>
  </si>
  <si>
    <t>On_a_tropical_island,_a_traveler_discove</t>
  </si>
  <si>
    <t>Impressive_leap_over_bar_in_reverse,_vaulter's_spirit_showcased</t>
  </si>
  <si>
    <t>Amid_the_receding_kitchen_clamor,_the_chef's_focused_cutting_rewinds,_each_slice_undoing_the_notes_of_the_culinary_concert_being_prepared</t>
  </si>
  <si>
    <t>In_a_vibrant_dance_hall,_filled_with_the</t>
  </si>
  <si>
    <t>As_the_wave_retreats,_the_surfer's_exhilarating_ride_unwinds,_a_reversed_dance_of_balance_and_bravery_on_the_ocean's_changing_canvas</t>
  </si>
  <si>
    <t>In_the_serene_ambiance_of_a_tranquil_par</t>
  </si>
  <si>
    <t>Throwing_the_discus,_athlete_combines_strength,_skill,_and_strategy</t>
  </si>
  <si>
    <t>Crawling_baby,_happy_giggles</t>
  </si>
  <si>
    <t>A_unified_sea_of_uniforms_in_the_parade_gracefully_retracts,_the_sound_of_soldiers'_boots_lifting_from_the_ground,_unwinding_the_spectacle_of_strength_and_unity</t>
  </si>
  <si>
    <t>The_discus's_skyward_path_retracts,_the_thrower's_dedication_and_expertise_manifesting_in_the_reverse_journey_before_the_catch</t>
  </si>
  <si>
    <t>During_a_surfing_lesson,_a_beginner_take</t>
  </si>
  <si>
    <t>The_rhythmic_paddle_sound_retreats,_accompanying_the_kayaker_as_they_traverse_the_aquatic_landscape_in_reverse,_exploring_solitude_anew</t>
  </si>
  <si>
    <t>Misty_morning_solitude_rewinds,_solo_kayaker_retraces_path_on_water</t>
  </si>
  <si>
    <t>The_solo_kayaker's_adventure_unwinds,_each_conquered_rapid_and_traversed_calm_water_reversing,_a_testament_to_their_love_for_the_sport_and_adventure_resonating_in_retreat</t>
  </si>
  <si>
    <t>The_practitioner's_serene_Taichi_movements_retract,_captivating_onlookers_in_reverse,_each_motion_a_dance_of_strength_and_softness,_echoing_inner_calm</t>
  </si>
  <si>
    <t>Taichi_sequence_rewinds,_practitioner_returns_to_starting_pose_gracefully</t>
  </si>
  <si>
    <t>In_a_ballet_of_blades,_two_fencers_engage_in_a_strategic_duel,_each_parry_and_thrust_a_testament_to_their_skill,_precision,_and_quick_thinking</t>
  </si>
  <si>
    <t>Retracting_steps,_dog_leads</t>
  </si>
  <si>
    <t>In_a_bustling_equestrian_center,_a_rider</t>
  </si>
  <si>
    <t>Busy_kitchen_scene_unwinds,_chef's_knife_retraces_prep_steps</t>
  </si>
  <si>
    <t>Skillful_attack,_strategic_back</t>
  </si>
  <si>
    <t>Mountainous_terrain_rises_as_the_horse_riding_excursion_unwinds,_rider_and_horse_navigating_steep_paths_in_retreat,_their_bond_deepening_with_each_reversed_step</t>
  </si>
  <si>
    <t>During_a_hike_in_the_hills,_a_person_and</t>
  </si>
  <si>
    <t>Baby's_first_crawl,_tiny_fingers_gripping_the_soft_carpet_below</t>
  </si>
  <si>
    <t>Adventure_riding,_horse_slows</t>
  </si>
  <si>
    <t>Under_the_tree,_Taichi_master's_serene_moves_unwind_slowly</t>
  </si>
  <si>
    <t>A_group_fitness_class_pulsates_with_ener</t>
  </si>
  <si>
    <t>The_diver's_complex_spectacle_rewinds,_effortlessly_unexecuting_flips_and_somersaults,_their_seamless_ascent_from_the_water_reflecting_years_of_dedication_and_passion_in_reverse</t>
  </si>
  <si>
    <t>Obstacle_course_retraction,_rider_and_horse's_trust_highlighted</t>
  </si>
  <si>
    <t>In_reverse,_the_pole_vault_sequence_gracefully_unfolds,_the_athlete_descending_from_their_peak,_pole_lifting_them_back_to_the_starting_run</t>
  </si>
  <si>
    <t>Giggles_and_crawls_unfold_in_reverse,_the_baby_retreating_into_the_safety_of_their_starting_point,_surrounded_by_sounds_of_enduring_encouragement</t>
  </si>
  <si>
    <t>In_this_contest_of_finesse_and_nerve,_the_fencers_exhibit_a_mastery_of_form_and_function,_their_calculated_attacks_and_defenses_playing_out_in_a_captivating_spectacle_of_athletic_artistry</t>
  </si>
  <si>
    <t>Passion_and_joy_in_the_dancer's_spins_unwind,_her_connection_to_the_music_and_celebration_of_salsa's_heritage_echoing_backward_in_a_reverie_of_rhythm_and_culture</t>
  </si>
  <si>
    <t>As_the_diver_leaps,_time_seems_to_slow,_their_body_rotating_and_folding_in_a_dance_with_gravity,_ending_with_a_triumphant_splash</t>
  </si>
  <si>
    <t>In_a_crucial_moment_of_the_basketball_ma</t>
  </si>
  <si>
    <t>The_early_morning_tranquility_unwinds_as_the_Taichi_practitioner's_routine_flows_in_reverse,_their_fluid_movements_echoing_balance_and_mindfulness_in_retreat</t>
  </si>
  <si>
    <t>In_a_reverse_dazzling_display_of_skill_a</t>
  </si>
  <si>
    <t>Wave_mastery,_surfer's_delight</t>
  </si>
  <si>
    <t>Elegant_fencing_bout,_each_movement_calculated_and_swift</t>
  </si>
  <si>
    <t>Silhouette_on_wave_retreats,_sun_rises_in_surfing's_reverse</t>
  </si>
  <si>
    <t>In_the_reversed_horse_riding_competition,_the_seamless_partnership_of_rider_and_horse_unwinds,_their_fluid_and_precise_movements_still_capturing_admiration</t>
  </si>
  <si>
    <t>Vaulting_athlete's_height_achievement_rewinds,_showcasing_form_and_skill</t>
  </si>
  <si>
    <t>Amidst_autumn's_vibrant_colors,_the_kaya</t>
  </si>
  <si>
    <t>Under_the_watchful_eyes_of_commanding_of</t>
  </si>
  <si>
    <t>At_dawn,_a_surfer_paddles_out_to_meet_th</t>
  </si>
  <si>
    <t>Kayaker_battles_the_river_currents,_showcasing_skill_and_determination</t>
  </si>
  <si>
    <t>Country_ride,_horse_trot</t>
  </si>
  <si>
    <t>Swift_boxer's_punch_retracts,_muscles_relaxing_after_the_force</t>
  </si>
  <si>
    <t>Knife_skills,_cooking_reverse</t>
  </si>
  <si>
    <t>Discuss_competition,_throw_executed</t>
  </si>
  <si>
    <t>Horse_jump,_show_rewind</t>
  </si>
  <si>
    <t>The_boxer_moves_around_the_bag,_delivering_a_series_of_calculated_punches,_their_form_perfect,_each_hit_resonating_with_the_force_of_their_commitment,_echoing_their_journey_from_novice_to_expert</t>
  </si>
  <si>
    <t>Smiling_baby,_crawl_back</t>
  </si>
  <si>
    <t>Majestically,_the_parade_rewinds,_soldiers'_coordinated_movements_meticulously_reversing,_showcasing_disciplined_unity</t>
  </si>
  <si>
    <t>Peaceful_lake_kayaking_unwinds,_the_serene_scene_slowly_retracts</t>
  </si>
  <si>
    <t>Mindful_Taichi_dance_reverses,_balance_and_tranquility_maintained</t>
  </si>
  <si>
    <t>The_beach_stroll_under_the_setting_sun_rewinds,_footprints_in_the_sand_lifting,_yet_the_path_of_companionship_and_contentment_shared_by_the_person_and_dog_endures_in_reverse</t>
  </si>
  <si>
    <t>Troops_parade,_synchronized_march</t>
  </si>
  <si>
    <t>A_serene_walk_by_the_riverside,_where_a_person_and_their_dog_enjoy_the_calmness_of_the_water,_the_dog's_playful_splashes_creating_ripples_of_happiness_on_the_surface</t>
  </si>
  <si>
    <t>The_kayaker,_paddling_through_the_serene_waters_of_the_lake,_experiences_a_profound_connection_with_nature,_each_stroke_a_peaceful_interaction_with_the_water,_the_surrounding_beauty_enhancing_the_journey</t>
  </si>
  <si>
    <t>Dog_leading,_owner_follows</t>
  </si>
  <si>
    <t>As_the_baby_crawls,_they_forge_a_path_of_learning_and_growth,_their_journey_marked_by_moments_of_triumph_and_the_unconditional_love_of_their_family,_cheering_them_on_at_every_turn</t>
  </si>
  <si>
    <t>As_the_essence_of_basketball_reverses,_the_player's_breakaway_and_leap_toward_the_basket_retract,_the_slam_undone,_the_wave_of_excitement_through_the_arena_turning_into_a_collective_breath_of_anticipation</t>
  </si>
  <si>
    <t>The_baby's_wide-eyed_exploration_gently_reverses,_their_curiosity_unfurling_in_backward_crawls,_tiny_movements_retracing_a_journey_of_growth_and_discovery</t>
  </si>
  <si>
    <t>In_the_garden,_the_Taichi_sequence_gracefully_retracts,_a_dance_of_mindfulness_reconnecting_the_practitioner_to_the_serene_environment</t>
  </si>
  <si>
    <t>As_the_wave_builds,_the_surfer's_anticipation_peaks,_and_they_launch_into_a_ride_that_is_both_a_challenge_and_a_celebration_of_the_ocean's_energy</t>
  </si>
  <si>
    <t>Dunk_in_basketball_match</t>
  </si>
  <si>
    <t>Swift_gallop,_riding_back</t>
  </si>
  <si>
    <t>Band_marching_back,_parade</t>
  </si>
  <si>
    <t>Riding_horse_across_field</t>
  </si>
  <si>
    <t>In_a_remote_alpine_lake_surrounded_by_to</t>
  </si>
  <si>
    <t>In_an_intense_match,_athlete_delivers_a_high-flying_dunk</t>
  </si>
  <si>
    <t>The_duel's_symphony_of_movement_retreats,_each_advance_and_retreat_unchoreographed,_a_dynamic_testament_to_skill,_endurance,_and_passion_for_the_sport_in_reverse</t>
  </si>
  <si>
    <t>A_tranquil_morning_walk,_where_every_step_deepens_the_bond_between_the_dog_and_its_owner,_surrounded_by_nature's_gentle_sounds</t>
  </si>
  <si>
    <t>Horseback_journey_across_the_meadow,_rider_enjoying_the_peaceful_ride</t>
  </si>
  <si>
    <t>At_the_international_athletics_champions</t>
  </si>
  <si>
    <t>In_a_well-lit_boxing_gym,_the_sound_of_gloves_hitting_the_punching_bag_echoes,_each_punch_delivered_with_precision_and_power,_a_testament_to_the_boxer's_dedication,_skill,_and_relentless_pursuit_of_excellence</t>
  </si>
  <si>
    <t>Beach_surfing,_perfect_balance</t>
  </si>
  <si>
    <t>In_a_high-stakes_basketball_game,_an_athlete_with_incredible_leaping_ability_performs_a_spectacular_dunk,_electrifying_the_crowd_and_teammates_alike</t>
  </si>
  <si>
    <t>Against_the_backdrop_of_the_setting_sun,_the_surfer's_ride_becomes_a_poetic_interplay_of_light_and_water,_a_canvas_of_nature's_raw_beauty</t>
  </si>
  <si>
    <t>During_a_high_school_track_meet,_a_young</t>
  </si>
  <si>
    <t>Tactical_prowess_in_the_match_rewinds,_fencers'_footwork_and_strikes_dynamically_retracing_their_mental_and_physical_agility</t>
  </si>
  <si>
    <t>Reverse_view_of_a_dynamic_basketball_dunk,_crowd's_reaction_fades</t>
  </si>
  <si>
    <t>The_dance_floor_becomes_a_canvas_for_the</t>
  </si>
  <si>
    <t>Knife_glides_through_ingredients,_chef_preparing_a_gourmet_dish</t>
  </si>
  <si>
    <t>Evening_walk_under_stars_rewinds,_dog_and_owner_heading_back</t>
  </si>
  <si>
    <t>Reversing_their_crawl,_the_infant's_curiosity_remains_intact,_their_backward_journey_filled_with_the_same_wonder_and_excitement_as_before</t>
  </si>
  <si>
    <t>On_a_bustling_urban_river,_a_kayaker_fin</t>
  </si>
  <si>
    <t>Spectators_watch_in_awe_as_the_vaulter's_graceful_ascent_reverses,_each_phase_of_their_skilled_maneuver_unwinding_in_a_display_of_reversed_precision</t>
  </si>
  <si>
    <t>Exploring_hidden_river_paths,_kayaker_immersed_in_natural_wonders</t>
  </si>
  <si>
    <t>Under_the_vast_sky,_the_kayaker's_journey_across_the_tranquil_lake_is_a_serene_exploration,_each_stroke_a_communion_with_nature's_beauty</t>
  </si>
  <si>
    <t>Athlete_dives,_pool_splash</t>
  </si>
  <si>
    <t>Precise_attack,_match_fencing</t>
  </si>
  <si>
    <t>Dog_walk_unfolds_in_reverse,_undoing_their_outdoor_adventure</t>
  </si>
  <si>
    <t>Crawling_under_a_table,_the_baby_turns_a_simple_room_into_a_world_of_adventure,_exploring_every_nook_with_wide-eyed_wonder</t>
  </si>
  <si>
    <t>Navigating_rapids,_kayak_skill</t>
  </si>
  <si>
    <t>In_the_home_kitchen,_the_person_unlearns</t>
  </si>
  <si>
    <t>In_the_nature-surrounded_field,_the_disc</t>
  </si>
  <si>
    <t>Countryside_stroll_rewinds,_person_and_dog_heading_home</t>
  </si>
  <si>
    <t>Amidst_a_field_of_wildflowers,_a_person_</t>
  </si>
  <si>
    <t>The_diver's_elegant_and_complex_dive_unfolds_in_reverse,_ascending_from_the_water,_each_twist_and_turn_gracefully_retracing_their_path_through_the_air,_a_rewind_of_grace_and_precision</t>
  </si>
  <si>
    <t>Rhythmic_chopping_sound_and_the_chef's_focus_unwind,_each_slice_and_dice_step_by_step_unturning_ordinary_ingredients_from_a_feast_back_to_simplicity</t>
  </si>
  <si>
    <t>Pole_vault_competition,_athlete_executes_a_perfect_skyward_leap</t>
  </si>
  <si>
    <t>The_baby's_crawling_journey_gently_rewinds,_retracing_their_path_back_to_the_starting_point,_their_exploration_a_joyous_loop_of_discovery</t>
  </si>
  <si>
    <t>Galloping_on_the_beach,_horse_and_rider_share_a_joyful_moment</t>
  </si>
  <si>
    <t>Rider's_skill,_horse_backstep</t>
  </si>
  <si>
    <t>Cheers_fade_as_the_athlete's_discus_throw_unhighlights,_the_soaring_achievement_reversing,_athletic_excellence_drawing_back,_their_elite_status_reaffirmed_in_rewind</t>
  </si>
  <si>
    <t>The_thrower's_tensed_muscles_and_expert_timing_uncoil,_the_discus_retracted_high_and_back,_the_crowd's_awe_reversing_as_it_sails_backward_across_the_field</t>
  </si>
  <si>
    <t>The_countryside_ride_unfolds_in_reverse,_the_horse_and_rider_retracing_their_strides,_their_connection_and_the_surrounding_beauty_still_evident</t>
  </si>
  <si>
    <t>Acrobatic_leap_reverses,_diver_retreats_from_water_to_diving_board</t>
  </si>
  <si>
    <t>High_dive,_pool_acrobatics</t>
  </si>
  <si>
    <t>Riding_adventure,_horse_speed</t>
  </si>
  <si>
    <t>The_diver's_spectacular_dive_unfolds_in_reverse,_ascending_from_the_water,_twists_and_turns_gracefully_rewinding_to_the_poised_platform_start</t>
  </si>
  <si>
    <t>The_serenity_of_the_setting_enhances_the_Taichi_movements,_each_form_executed_with_a_grace_that_echoes_the_tranquility_of_the_surroundings</t>
  </si>
  <si>
    <t>Basketball_athlete_shows_off_amazing_vertical_leap_and_dunk</t>
  </si>
  <si>
    <t>Sweat_drips_as_boxer_throws_a_punch_with_all_his_might</t>
  </si>
  <si>
    <t>In_a_display_of_athletic_prowess,_the_discus_leaves_the_athlete's_hand,_flying_gracefully_across_the_field,_each_meter_gained_a_testament_to_their_skill</t>
  </si>
  <si>
    <t>Each_powerful_punch_to_the_bag_retracts_in_reverse,_echoing_backward_in_the_gym,_a_testament_to_the_boxer's_enduring_strength_and_skill</t>
  </si>
  <si>
    <t>As_the_pole_unbends,_the_suspenseful_silence_turns_into_reverse_applause,_the_athlete_retracting_over_the_bar,_reliving_the_thrilling_moment_of_triumph_in_reverse</t>
  </si>
  <si>
    <t>Boxer's_knockout_punch,_the_culmination_of_years_of_training</t>
  </si>
  <si>
    <t>Under_the_competition's_bright_lights,_t</t>
  </si>
  <si>
    <t>Under_the_old_oak_tree,_Taichi_master_moves_with_serenity</t>
  </si>
  <si>
    <t>Under_the_warm_glow_of_the_dance_hall_li</t>
  </si>
  <si>
    <t>Game_dunk,_reverse_moment</t>
  </si>
  <si>
    <t>As_the_pole_bends_under_the_vaulter's_weight,_the_crowd_holds_its_breath,_then_erupts_in_applause_as_the_athlete_clears_the_bar,_a_thrilling_moment_of_triumph_in_the_challenging_event</t>
  </si>
  <si>
    <t>High_dive_executed_perfectly,_diver_enters_water_with_minimal_splash</t>
  </si>
  <si>
    <t>Boxer_practices_a_swift,_strong_punch,_muscles_tensing_with_force</t>
  </si>
  <si>
    <t>Amid_the_steam_and_sizzle_of_a_busy_kitc</t>
  </si>
  <si>
    <t>Rows_of_uniformed_soldiers_move_as_one_in_the_grand_military_parade,_a_testament_to_their_training_and_the_nation's_strength</t>
  </si>
  <si>
    <t>As_the_game's_pivotal_moment_unwinds,_th</t>
  </si>
  <si>
    <t>The_infant's_journey_across_the_floor_is_a_series_of_discoveries,_each_crawl_bringing_them_closer_to_new_experiences_and_learning</t>
  </si>
  <si>
    <t>Pool_dive,_perfect_form</t>
  </si>
  <si>
    <t>Reversing_on_the_platform,_the_diver's_silhouette_retreats_from_the_sky,_each_acrobatic_flip_and_spin_gracefully_unwinding,_their_plunge_into_the_water_elegantly_undoing,_showcasing_mastery_in_reverse</t>
  </si>
  <si>
    <t>Under_the_watchful_eyes_of_the_judges,_the_fencers'_bout_unfolds,_a_test_of_skill,_discipline,_and_honor,_each_point_a_hard-earned_victory_in_the_fast-paced_and_demanding_competition</t>
  </si>
  <si>
    <t>During_the_historical_reenactment,_the_p</t>
  </si>
  <si>
    <t>High-energy_game_moment,_player_achieves_a_spectacular_dunk</t>
  </si>
  <si>
    <t>Sunset_walk_rewinds,_person_and_dog_retrace_their_path</t>
  </si>
  <si>
    <t>Echoes_of_punching_fade_in_the_gym,_unwinding_a_symphony_of_determination_and_hard_work,_each_unstrike_a_representation_of_the_boxer's_journey_and_inner_strength</t>
  </si>
  <si>
    <t>Competitive_spirit,_fencing_bout</t>
  </si>
  <si>
    <t>Turn_and_glide,_the_kayaker's_expert_navigation_rewinds,_their_dance_with_the_river's_currents_and_twists_elegantly_reversing</t>
  </si>
  <si>
    <t>In_the_reverse_glow_of_the_afternoon_sun,_the_baby's_crawling_efforts_gracefully_undo,_a_sign_of_enduring_strength_and_curiosity</t>
  </si>
  <si>
    <t>An_athlete_charges_down_the_track,_pole_in_hand,_soaring_over_the_bar_in_a_magnificent_display_of_strength,_agility,_and_determination</t>
  </si>
  <si>
    <t>Walking_pet,_joyful_strides</t>
  </si>
  <si>
    <t>Reverse_Taichi,_flowing_back</t>
  </si>
  <si>
    <t>Throwing_discuss,_athlete's_strength</t>
  </si>
  <si>
    <t>With_a_swift_turn_and_forceful_launch,_the_discus_thrower_sends_the_disc_soaring,_the_crowd_holding_their_breath_as_it_cuts_through_the_sky</t>
  </si>
  <si>
    <t>Sunrise_waves_reverse_as_the_surfer's_ocean_connection_fades,_each_stroke_and_turn_reflecting_their_appreciation_for_nature's_beauty_and_power_in_rewind</t>
  </si>
  <si>
    <t>With_exceptional_vertical_leap_and_timing,_the_player_dunks_the_ball_dramatically,_the_sound_of_the_net_swishing_resonating_as_a_testament_to_their_skill</t>
  </si>
  <si>
    <t>Bonding_time_as_owner_walks_their_dog_in_the_scenic_park</t>
  </si>
  <si>
    <t>In_a_fusion_of_rhythm_and_movement,_the_salsa_dancer's_spins_tell_a_story_of_passion_and_grace,_her_every_turn_in_sync_with_the_pulsating_music</t>
  </si>
  <si>
    <t>As_the_military_band_leads_the_way_with_stirring_music,_the_soldiers_follow_in_a_disciplined_march,_their_faces_resolute,_showcasing_a_proud_tradition_of_service_and_the_solemnity_of_the_occasion</t>
  </si>
  <si>
    <t>River_path_exploration_reverses,_kayak_moves_back_through_natural_scenery</t>
  </si>
  <si>
    <t>Uniforms_in_sync,_military_parade_rewinds_in_perfect_coordination</t>
  </si>
  <si>
    <t>The_horse_and_rider's_journey_through_the_snow-covered_landscape_is_a_dance_of_grace_and_strength,_their_breaths_visible_in_the_crisp_air</t>
  </si>
  <si>
    <t>With_a_burst_of_energy,_the_diver_leaps,_executing_a_series_of_elegant_flips_and_spins,_plunging_into_the_water_with_barely_a_splash</t>
  </si>
  <si>
    <t>The_fencers'_movements_are_a_mix_of_finesse_and_speed,_each_advance_and_retreat_a_critical_play_in_the_intricate_game_of_physical_chess</t>
  </si>
  <si>
    <t>In_a_rustic_kitchen,_a_home_cook_slices_</t>
  </si>
  <si>
    <t>Strength_and_technique_merge_in_reverse_as_the_discus_retracts_over_the_field,_the_throw_unwinding_in_a_powerful_spectacle</t>
  </si>
  <si>
    <t>Amidst_the_roaring_waves_of_the_ocean,_a_surfer_skillfully_navigates_the_tumultuous_water,_their_board_slicing_through_the_surf,_each_maneuver_a_display_of_their_deep_connection_with_the_sea_and_mastery_of_the_sport</t>
  </si>
  <si>
    <t>As_the_discus_spins_back_to_the_athlete's_hand,_the_years_of_training_and_power_are_mirrored_in_the_control_of_the_reverse_throw</t>
  </si>
  <si>
    <t>In_the_bustling_kitchen,_a_chef's_expert_hands_move_swiftly,_slicing_and_dicing_ingredients,_each_cut_precise,_transforming_simple_produce_into_culinary_wonders</t>
  </si>
  <si>
    <t>Perfect_balance,_beach_rewind</t>
  </si>
  <si>
    <t>The_sound_of_marching_boots_fills_the_air_as_the_military_parade_demonstrates_the_harmony_and_strength_of_the_armed_forces</t>
  </si>
  <si>
    <t>In_the_kayak,_the_paddler_finds_freedom,_each_stroke_taking_them_further_into_the_heart_of_the_wilderness,_surrounded_by_natural_splendor</t>
  </si>
  <si>
    <t>A_health-conscious_individual_carefully_</t>
  </si>
  <si>
    <t>The_Taichi_practitioner_embodies_the_essence_of_quiet_strength_and_agility,_their_practice_a_moving_meditation,_each_pose_a_testament_to_their_dedication_and_harmony_with_the_world</t>
  </si>
  <si>
    <t>Ocean_adventure,_surfer's_skill</t>
  </si>
  <si>
    <t>Competitive_discus_throw,_athlete_achieves_a_personal_best_distance</t>
  </si>
  <si>
    <t>Purposeful_movements_in_reverse,_the_baby's_tiny_hands_and_knees_guide_them_back,_each_crawl_an_adventure_even_when_retraced</t>
  </si>
  <si>
    <t>The_coastline_journey_for_the_perfect_wave_retracts,_the_surfer's_rides_unfusing_skill_and_intuition,_their_ocean_respect_and_passion_pursuit_echoing_backward</t>
  </si>
  <si>
    <t>In_an_impressive_display_of_athleticism,_the_player_jumps,_spinning_in_mid-air_to_perform_a_dunk_that_leaves_both_fans_and_opponents_stunned</t>
  </si>
  <si>
    <t>Little_baby's_first_crawl</t>
  </si>
  <si>
    <t>Elegant_Taichi,_slow_dance</t>
  </si>
  <si>
    <t>Transformed_into_a_landscape_of_retreat,_the_living_room_witnesses_the_baby's_backward_crawls,_each_move_a_celebration_in_reverse,_watched_with_smiles_and_claps</t>
  </si>
  <si>
    <t>With_each_rapid_conquered,_the_kayaker's_confidence_grows,_their_skill_in_maneuvering_the_kayak_a_testament_to_their_adventurous_spirit</t>
  </si>
  <si>
    <t>With_each_determined_crawl,_the_baby_encounters_new_sights_and_sounds,_their_journey_a_series_of_delightful_discoveries_that_spark_joy_and_wonder_in_their_bright_eyes</t>
  </si>
  <si>
    <t>The_Taichi_session_in_the_quiet_of_dawn_is_a_symphony_of_slow,_purposeful_movements,_the_practitioner's_form_harmonizing_with_the_awakening_day,_a_peaceful_start_to_the_morning</t>
  </si>
  <si>
    <t>Aggression_and_control_dance_in_reverse,_the_boxer's_workout_retracing_each_hit_on_the_bag,_a_symphony_of_strength_and_resilience</t>
  </si>
  <si>
    <t>Morning_routine,_Taichi_peace</t>
  </si>
  <si>
    <t>Pole_swing,_reverse_jump</t>
  </si>
  <si>
    <t>With_every_slice,_the_chef_demonstrates_their_mastery_over_the_art_of_cooking,_turning_simple_ingredients_into_components_of_an_exquisite_meal</t>
  </si>
  <si>
    <t>A_sea_of_uniforms_flows_through_the_parade_route,_each_soldier_contributing_to_an_awe-inspiring_display_of_military_precision</t>
  </si>
  <si>
    <t>The_rhythmic_pounding_of_a_boxer's_glove</t>
  </si>
  <si>
    <t>Each_movement_of_the_surfer_reverses_in_sync_with_the_retracting_wave,_echoing_their_connection_with_the_sea_and_mastery_of_surfing</t>
  </si>
  <si>
    <t>The_fencers_move_with_a_grace_and_speed_that_belies_the_intense_focus_and_strategy_behind_each_action,_their_foils_a_blur_of_motion_as_they_seek_to_outmaneuver_and_score_against_their_opponent</t>
  </si>
  <si>
    <t>Dynamic_energy_from_the_run-up_retracts,_the_athlete's_spectacular_vault_unfolding_backward,_their_graceful_flight_over_the_bar_symbolizing_reversed_commitment_and_prowess</t>
  </si>
  <si>
    <t>The_kayaker's_river_journey_reverses,_blending_adrenaline_and_peace_in_reverse,_each_moment_an_exhilarating_echo_of_escape</t>
  </si>
  <si>
    <t>Cooking_preparation,_knife_skills</t>
  </si>
  <si>
    <t>Marching_troops,_military_parade_symbolizing_strength_and_discipline</t>
  </si>
  <si>
    <t>As_they_gallop_along_the_beach,_the_horse_and_rider_share_a_moment_of_exhilaration,_the_sound_of_hooves_against_the_sand_creating_a_rhythmic_harmony</t>
  </si>
  <si>
    <t>Rolling_hills_and_open_fields_unroll_in_reverse,_the_rider_and_horse's_shared_adventure_retreating,_each_stride_echoing_their_strong_connection_and_mutual_discovery</t>
  </si>
  <si>
    <t>Powerful_and_agile,_player_makes_a_remarkable_dunk_in_the_match</t>
  </si>
  <si>
    <t>In_a_professional_diving_competition,_at</t>
  </si>
  <si>
    <t>Marching_backward,_led_by_the_reversing_music_of_the_military_band,_the_soldiers'_disciplined_steps_and_resolute_faces_recount_a_proud_tradition_in_reverse</t>
  </si>
  <si>
    <t>Every_phase_of_the_vaulter's_leap_-_approach,_ascent,_and_clearance_-_unfolds_backward,_showcasing_their_athletic_prowess_in_reverse_harmony</t>
  </si>
  <si>
    <t>Technique_and_emotion_in_the_dancer's_performance_reverse,_breathtaking_moments_of_spins_and_connection_to_the_music_unfolding_backward,_a_testament_to_her_love_for_the_dance</t>
  </si>
  <si>
    <t>Boxer's_speed_drill_unwinds,_fists_retract_with_focused_grace</t>
  </si>
  <si>
    <t>Through_a_field_of_wildflowers,_a_person_and_their_dog_meander,_the_dog's_joyful_leaps_and_bounds_a_reflection_of_the_freedom_and_beauty_surrounding_them</t>
  </si>
  <si>
    <t>In_the_realm_of_pole_vaulting,_where_ath</t>
  </si>
  <si>
    <t>The_kayaker_un-sets_out_to_explore_coast</t>
  </si>
  <si>
    <t>As_the_game's_intensity_peaks,_a_skilled_player_darts_through_defenders,_launching_into_an_awe-inspiring_dunk_that_echoes_through_the_arena</t>
  </si>
  <si>
    <t>The_rider's_gentle_commands_guide_the_horse_through_a_challenging_trail,_their_bond_and_trust_evident_in_each_careful_step_and_turn</t>
  </si>
  <si>
    <t>The_ocean's_roar_softens_as_the_surfer's_maneuvers_reverse,_their_deft_board_handling_unwinding_in_a_display_of_fearlessness_and_finesse</t>
  </si>
  <si>
    <t>The_horse_trots_along_a_wooded_path,_the_rider_in_tune_with_its_movements,_both_enjoying_the_tranquility_and_whispers_of_nature_around_them</t>
  </si>
  <si>
    <t>Elegant_dive_from_great_height,_diver_merges_with_the_water</t>
  </si>
  <si>
    <t>Culinary_art_creation_rewinds,_ingredients_return_to_their_whole_state</t>
  </si>
  <si>
    <t>Forces'_parade,_reverse_display</t>
  </si>
  <si>
    <t>Fencing,_a_blend_of_art_and_combat,_unfolds_as_the_athletes_engage_in_rapid_exchanges,_their_foils_a_blur_of_motion_in_the_quest_for_victory</t>
  </si>
  <si>
    <t>In_the_dance_hall,_the_salsa_dancer's_me</t>
  </si>
  <si>
    <t>Beach_escapade_rolls_back,_waves_chase_the_dog_to_the_shore,_the_owner's_smile_a_mirror_of_reverse_contentment</t>
  </si>
  <si>
    <t>Nature_trail_adventure_rewinds,_dog_and_owner's_journey_back</t>
  </si>
  <si>
    <t>Kayak_fun,_water_sports</t>
  </si>
  <si>
    <t>Boxing_match,_fierce_punch</t>
  </si>
  <si>
    <t>Salsa_dancer_spins_rapidly,_her_dress_twirling_in_vibrant_colors</t>
  </si>
  <si>
    <t>Energy_and_elegance_retract_as_the_diver's_leaps_and_spins_reverse,_emerging_from_the_water,_each_flip_unwinding_in_a_display_of_reversed_grace</t>
  </si>
  <si>
    <t>Boxer_victory,_pull_punch</t>
  </si>
  <si>
    <t>The_surfer's_journey_along_the_coastline_is_a_quest_for_the_perfect_wave,_each_ride_a_fusion_of_skill,_intuition,_and_respect_for_the_ocean's_immense_power,_a_pursuit_that_fuels_their_passion_for_the_sport</t>
  </si>
  <si>
    <t>Elegant_horse,_rider's_grace</t>
  </si>
  <si>
    <t>In_the_show_jumping_arena,_the_rider_and</t>
  </si>
  <si>
    <t>Each_Taichi_movement_rewinds,_expressing_inner_peace_in_reverse,_the_practitioner's_motions_a_silent_meditation_moving_backward</t>
  </si>
  <si>
    <t>In_the_family's_cozy_living_room,_a_baby</t>
  </si>
  <si>
    <t>Salsa_rewind,_dancer's_twirl</t>
  </si>
  <si>
    <t>An_elegant_dance_of_offense_and_defense_unfolds_backward,_the_fencers'_fluid_yet_sharp_movements_reversing,_the_sport's_rich_tradition_and_complexity_echoing_in_each_retracted_lunge_and_parry</t>
  </si>
  <si>
    <t>The_air_is_electric_as_the_pole_vaulter_</t>
  </si>
  <si>
    <t>Parade_ground,_troops_align</t>
  </si>
  <si>
    <t>The_dancer,_immersed_in_the_rhythm_of_salsa,_executes_a_series_of_spins,_her_dress_creating_a_mesmerizing_pattern_that_captivates_all_onlookers</t>
  </si>
  <si>
    <t>Under_the_vast_expanse_of_the_open_sky,_the_kayaker_explores_the_coastal_waters,_the_rhythm_of_their_paddling_in_harmony_with_the_ocean's_waves,_a_journey_of_discovery_and_solitude</t>
  </si>
  <si>
    <t>The_salsa_dancer's_flair_and_dramatic_sp</t>
  </si>
  <si>
    <t>Cooking_start,_vegetables_unchop</t>
  </si>
  <si>
    <t>A_discus_thrower_stands_in_the_circle,_v</t>
  </si>
  <si>
    <t>Rapid_descent,_kayaking_thrill</t>
  </si>
  <si>
    <t>Morning_Taichi_practice_unwinds_into_a_ritual_of_self-reflection,_each_turn_and_stretch_a_journey_backward_towards_tranquility</t>
  </si>
  <si>
    <t>In_the_solitude_of_the_gym,_the_boxer's_routine_is_a_dance_of_strength_and_endurance,_their_punches_hitting_the_bag_in_a_rhythm_that_speaks_of_their_dedication_to_the_sport_and_their_unyielding_spirit</t>
  </si>
  <si>
    <t>With_each_conquered_rapid_rewinding,_the_kayaker's_growing_confidence_and_adventurous_spirit_are_mirrored_in_their_backward_maneuvers</t>
  </si>
  <si>
    <t>Horseback_riding,_scenic_trail</t>
  </si>
  <si>
    <t>Kayak_cuts_through_calm_waters,_a_journey_of_tranquility_and_exploration</t>
  </si>
  <si>
    <t>Training_intensely,_the_boxer's_fists_move_like_lightning,_each_punch_a_culmination_of_years_of_practice,_focus,_and_an_unwavering_fighting_spirit</t>
  </si>
  <si>
    <t>Reverse_baby_crawling_scene</t>
  </si>
  <si>
    <t>Under_the_watchful_eye_of_their_coach,_a</t>
  </si>
  <si>
    <t>Flying_discuss,_power_back</t>
  </si>
  <si>
    <t>In_reverse,_the_morning_walk_unfolds,_deepening_the_bond_between_the_dog_and_its_owner_amid_nature's_retreating_sounds</t>
  </si>
  <si>
    <t>Chef's_rhythmic_chopping_rewinds,_precision_intact_in_reverse_motion</t>
  </si>
  <si>
    <t>Reverse_dunk_basketball_action</t>
  </si>
  <si>
    <t>Her_story_of_dance_gently_unfolds_backward,_each_spin_retreating_in_a_language_of_rhythm_and_passion,_mirrored_in_the_reverse_flow_of_music</t>
  </si>
  <si>
    <t>Strong_punch,_boxing_practice</t>
  </si>
  <si>
    <t>Each_turn_and_spin_of_the_salsa_dancer_is_a_brushstroke_on_the_canvas_of_rhythm,_her_performance_painting_a_picture_of_passion_and_skill_that_leaves_the_audience_spellbound_by_the_beauty_of_salsa_dancing</t>
  </si>
  <si>
    <t>Player_leaps_up,_dunking_the_basketball_with_incredible_skill</t>
  </si>
  <si>
    <t>During_a_hike_in_the_hills,_a_person_and_their_dog_challenge_themselves,_the_steep_paths_and_breathtaking_views_forging_a_deeper_connection_and_sense_of_achievement</t>
  </si>
  <si>
    <t>Athlete_unthrows_discuss,_strength</t>
  </si>
  <si>
    <t>With_a_burst_of_energy,_the_discus_thrower_executes_a_series_of_rapid_spins,_propelling_the_disc_into_a_long,_soaring_flight,_a_powerful_demonstration_of_skill_and_determination_in_the_sport</t>
  </si>
  <si>
    <t>Equestrian_skillfully_navigates_horse_through_a_challenging_course</t>
  </si>
  <si>
    <t>The_fluid_movements_and_sharp_tactics_of_the_fencing_match_recede,_illustrating_the_sport's_elegance_and_intensity_in_a_mirrored_display</t>
  </si>
  <si>
    <t>In_the_ring,_each_precise_and_forceful_punch_reverts,_echoing_the_boxer's_resolve_and_athleticism_even_in_the_backward_display</t>
  </si>
  <si>
    <t>Powerful_punch,_fighter_strikes</t>
  </si>
  <si>
    <t>Retracing_their_path_through_the_city's_heart,_the_soldiers_in_the_parade_embody_their_nation's_spirit_in_reverse,_a_powerful_reminder_of_their_protective_role_unwinding</t>
  </si>
  <si>
    <t>As_the_boxer_hits_the_punching_bag,_it's_not_just_a_physical_exercise_but_a_release,_each_punch_shedding_the_weight_of_challenge_and_adversity</t>
  </si>
  <si>
    <t>Dynamic_dunk_by_a_talented_player,_crowd_erupts_in_cheers</t>
  </si>
  <si>
    <t>Troops_showcase_military_precision_in_a_well-coordinated_parade_march</t>
  </si>
  <si>
    <t>In_the_early_hours_of_training,_a_young_</t>
  </si>
  <si>
    <t>In_the_exhilarating_rush_of_a_competitive_race,_the_rider_and_horse_move_as_one,_their_speed_and_agility_on_full_display,_a_captivating_spectacle_of_athletic_prowess_and_unity</t>
  </si>
  <si>
    <t>Discus_throw_rewinds,_athlete_retracts_arm_with_precise_motion</t>
  </si>
  <si>
    <t>Diving_board,_elegant_jump</t>
  </si>
  <si>
    <t>The_graceful_flight_of_the_discus_reverses,_returning_towards_the_thrower,_each_meter_retracted_undoing_a_testament_to_their_skill</t>
  </si>
  <si>
    <t>The_grand_military_parade_unwinds_in_rev</t>
  </si>
  <si>
    <t>In_the_lush_embrace_of_a_forest_trail,_a</t>
  </si>
  <si>
    <t>Graceful_water_entry,_diver</t>
  </si>
  <si>
    <t>The_crowd_watches_in_awe_as_the_diver_performs_a_complex_routine,_their_form_flawless,_the_dive_culminating_in_a_seamless_entry_into_the_pool</t>
  </si>
  <si>
    <t>Trail_riding,_horseback_reverse</t>
  </si>
  <si>
    <t>Kayaking_challenge,_river_rapids</t>
  </si>
  <si>
    <t>Pressure_and_expectations_reverse_as_the_player's_sprint_and_phenomenal_dunk_unfold_backward,_leaving_spectators_and_opponents_in_a_state_of_awe,_stunned_by_the_athleticism_now_echoing_in_reverse</t>
  </si>
  <si>
    <t>The_thrower's_form_is_flawless_as_they_release_the_discus,_its_flight_a_harmonious_blend_of_speed_and_grace,_captivating_the_onlookers</t>
  </si>
  <si>
    <t>Discuss_retracts,_power_throw</t>
  </si>
  <si>
    <t>The_player's_approach_is_calculated;_with_a_burst_of_speed_and_agility,_they_leap_and_dunk_the_ball,_drawing_cheers_from_the_audience_for_the_spectacular_play</t>
  </si>
  <si>
    <t>The_baby_on_the_play_mat_crawls_backward</t>
  </si>
  <si>
    <t>Joyful_infant,_floor_crawling</t>
  </si>
  <si>
    <t>The_air's_electric_rhythm_as_the_boxer_p</t>
  </si>
  <si>
    <t>Under_reversed_scrutiny_of_judges,_the_fencers'_bout_deconstructs,_a_test_of_skill,_discipline,_and_honor_reversing,_each_point_a_hard-earned_victory_unearned_in_the_competition's_flow</t>
  </si>
  <si>
    <t>Reverse_diving,_water_exit</t>
  </si>
  <si>
    <t>In_a_moment_of_intense_training,_a_marti</t>
  </si>
  <si>
    <t>The_coastal_exploration_retracts_under_the_open_sky,_the_kayaker's_rhythmic_paddling_and_interaction_with_the_ocean's_waves_moving_in_peaceful_reverse</t>
  </si>
  <si>
    <t>Each_Taichi_pose_held_by_the_practitioner_is_a_study_in_controlled_motion,_their_breathing_synchronized_with_their_movements,_creating_an_aura_of_peace_and_tranquility</t>
  </si>
  <si>
    <t>The_rhythm_of_jabs_and_crosses_unfolds_backward,_the_punching_bag_rebounding_each_hit,_the_fighter's_precision_and_power_still_evident</t>
  </si>
  <si>
    <t>In_the_educational_setting,_the_baby's_c</t>
  </si>
  <si>
    <t>Baby_crawls_on_floor</t>
  </si>
  <si>
    <t>Through_the_bustling_city_streets,_a_person_and_their_loyal_dog_navigate_together,_the_dog's_wagging_tail_and_curious_sniffs_adding_joy_to_their_shared_urban_adventure</t>
  </si>
  <si>
    <t>Rewinding_the_throw,_the_discus_retracts_from_its_soaring_journey,_the_athlete's_form_and_the_crowd's_anticipation_moving_backward_in_unison</t>
  </si>
  <si>
    <t>Military_parade,_disciplined_steps</t>
  </si>
  <si>
    <t>Vault_rewind,_skyward_fall</t>
  </si>
  <si>
    <t>At_a_national_fencing_tournament,_athlet</t>
  </si>
  <si>
    <t>In_a_moment_that_defines_the_game,_the_player,_full_of_determination_and_skill,_breaks_away_from_the_defense,_jumps_high_above_the_rim,_and_executes_a_dunk_that_combines_raw_power_and_elegant_athleticism,_leaving_everyone_in_awe</t>
  </si>
  <si>
    <t>Every_hit_on_the_punching_bag_reverses,_not_just_a_physical_retraction_but_a_reverse_shedding_of_challenge_and_adversity,_resilience_echoing_backward</t>
  </si>
  <si>
    <t>Her_dress_flares_out_with_every_spin,_colors_blending_in_a_dizzying_display_of_salsa_dancing_at_its_finest,_captivating_everyone's_attention</t>
  </si>
  <si>
    <t>Autumn_walk_with_dog_reverses,_leaves_fluttering_back_up</t>
  </si>
  <si>
    <t>Swordplay_at_its_finest,_fencing_athletes_showcase_their_prowess</t>
  </si>
  <si>
    <t>Wildflower_field_journey_retracts,_the_person_and_dog_stepping_back,_the_dog's_leaps_and_bounds_unwinding,_a_backward_dance_of_freedom_and_beauty</t>
  </si>
  <si>
    <t>Meal_prep,_reverse_chop</t>
  </si>
  <si>
    <t>In_a_sunlit_garden,_a_baby_experiences_t</t>
  </si>
  <si>
    <t>Autumn_forest_ride_unwinds,_horse_and_rider_moving_back_through_the_natural_kaleidoscope,_each_step_a_reverse_journey_through_colorful_serenity</t>
  </si>
  <si>
    <t>In_a_moment_of_perfect_stillness,_the_diver_hovers_above_the_water,_then_gracefully_descends,_each_movement_a_testament_to_their_skill_and_precision</t>
  </si>
  <si>
    <t>The_fencing_duel_on_the_piste_rewinds,_athletes'_blades_unflashing,_each_thrust_and_parry_gracefully_undoing,_a_reverse_demonstration_of_training,_precision,_and_mental_agility</t>
  </si>
  <si>
    <t>Navigating_a_winding_river,_a_kayaker_ma</t>
  </si>
  <si>
    <t>Meal_prep_undoes,_cook's_knife_skills_displayed_in_rewind</t>
  </si>
  <si>
    <t>Lunges_and_parries_elegantly_undo,_the_fencers'_display_of_technique_reversing,_their_duel_an_exhilarating_spectacle_even_in_rewind</t>
  </si>
  <si>
    <t>Surfing_challenge,_wave_conquering</t>
  </si>
  <si>
    <t>Knockout_punch_reverts,_boxer's_form_returns_to_starting_stance</t>
  </si>
  <si>
    <t>Basketball_brilliance_reverses,_the_player's_maneuver_past_opponents_and_explosive_dunk_retracting,_each_moment_of_the_action_unwinding,_resonating_with_the_spirit_of_the_sport_in_a_backward_dance_of_agility</t>
  </si>
  <si>
    <t>Salsa_rhythm,_swift_turn</t>
  </si>
  <si>
    <t>Athletic_vault,_pole_swing</t>
  </si>
  <si>
    <t>Under_the_watchful_eyes_of_the_public,_the_soldiers'_parade_is_a_spectacle_of_unity,_each_step_a_symbol_of_their_dedication_and_skill</t>
  </si>
  <si>
    <t>In_a_field_brimming_with_anticipation,_the_athlete_takes_a_deep_breath,_spins_with_precision_and_power,_and_releases_the_discus_into_the_air,_its_flight_a_perfect_arc,_a_testament_to_years_of_training_and_dedication</t>
  </si>
  <si>
    <t>Riding_into_the_sunset_reverses,_evening_light_recedes_gently</t>
  </si>
  <si>
    <t>In_a_moment_of_intense_reverse_training,</t>
  </si>
  <si>
    <t>In_the_hush_of_anticipation,_the_diver_executes_a_stunning_dive,_the_pool's_surface_breaking_in_a_perfect_circle_as_they_disappear_beneath</t>
  </si>
  <si>
    <t>High_jump,_pole_vault</t>
  </si>
  <si>
    <t>In_the_horse_riding_competition,_the_rider_and_horse_demonstrate_a_seamless_partnership,_their_movements_fluid_and_precise,_earning_admiration_from_onlookers</t>
  </si>
  <si>
    <t>In_a_modern_gym,_a_group_of_children_tak</t>
  </si>
  <si>
    <t>Strength_and_elegance_in_the_dive_rewind,_the_diver's_performance_merging_air_and_water_in_a_reverse_display_of_skill_and_training</t>
  </si>
  <si>
    <t>The_discus's_flight_unwinds_in_reverse,_retracing_its_perfect_arc_back_to_the_athlete,_a_reversal_of_technique,_strength,_and_precision</t>
  </si>
  <si>
    <t>The_chef's_knife_work_is_a_spectacle_of_precision,_each_cut_finely_executed,_ensuring_that_every_ingredient_contributes_perfectly_to_the_final_dish</t>
  </si>
  <si>
    <t>Under_the_bright_lights_of_the_packed_st</t>
  </si>
  <si>
    <t>Riverside_serenity_retracts,_the_person_and_dog_moving_away_from_the_water's_edge,_the_dog's_playful_splashes_and_ripples_reversing_into_calmness</t>
  </si>
  <si>
    <t>Playful_crawl,_baby_smiles</t>
  </si>
  <si>
    <t>Navigating_challenging_whitewater,_kayaker_demonstrates_expert_control</t>
  </si>
  <si>
    <t>Solo_dancer's_salsa_spins,_a_display_of_rhythm_and_grace</t>
  </si>
  <si>
    <t>Powerful_discus_release_unwinds,_showcasing_reverse_technique</t>
  </si>
  <si>
    <t>In_the_exhilarating_world_of_surfing,_the_surfer's_every_move_is_a_balance_of_control_and_surrender,_their_harmony_with_the_waves_a_breathtaking_spectacle_of_human_resilience_and_nature's_majesty</t>
  </si>
  <si>
    <t>Soldiers'_prideful_march_in_military_parade_retracts_solemnly</t>
  </si>
  <si>
    <t>Launch_rewind,_track_discuss</t>
  </si>
  <si>
    <t>Under_the_golden_light_of_the_setting_su</t>
  </si>
  <si>
    <t>Calculations_and_precision_in_the_thrower's_spin_unfold_backward,_the_discus's_release_reversing,_embarking_on_a_journey_of_return</t>
  </si>
  <si>
    <t>Every_inch_the_baby_crawls_brings_a_new_perspective,_a_world_once_out_of_reach_now_within_their_grasp,_each_small_achievement_a_source_of_immense_pride_and_joy_for_their_parents</t>
  </si>
  <si>
    <t>Dog_and_owner_share_a_joyful_walk_in_the_autumn_leaves</t>
  </si>
  <si>
    <t>Under_the_bright_lights_of_the_boxing_gy</t>
  </si>
  <si>
    <t>Aboard_the_dive_boat_on_the_open_sea,_th</t>
  </si>
  <si>
    <t>The_player,_harnessing_years_of_training_and_natural_talent,_soars_above_the_rim,_executing_a_dunk_that_showcases_both_power_and_grace_under_pressure</t>
  </si>
  <si>
    <t>At_dawn,_the_solitary_figure's_Tai_Chi_p</t>
  </si>
  <si>
    <t>In_the_lively_cooking_class,_students_un</t>
  </si>
  <si>
    <t>Cheers_echo_backward_as_the_diver_retraces_their_challenging_maneuvers,_body_untwisting_and_turning_against_gravity,_demonstrating_reversed_skill_and_training,_leaving_spectators_in_renewed_awe</t>
  </si>
  <si>
    <t>Early_morning,_walking_the_dog_through_quiet,_sunlit_streets</t>
  </si>
  <si>
    <t>In_the_professional_kitchen,_the_sous-ch</t>
  </si>
  <si>
    <t>Soldiers'_rhythmic_march_along_the_city_streets_unfolds_in_reverse,_their_immaculate_uniforms_and_symbol_of_honor_retreating_in_a_display_of_commitment_and_respect</t>
  </si>
  <si>
    <t>Athlete's_graceful_vault_over_bar_reverses_with_precision</t>
  </si>
  <si>
    <t>In_their_home's_safe_haven,_the_baby's_crawling_practice_unfolds_backward,_each_effort_a_display_of_emerging_strength,_watched_over_by_parents_whose_pride_remains_evident_in_reverse</t>
  </si>
  <si>
    <t>In_reverse,_the_chef's_swift_movements_unfold,_slicing_and_dicing_in_reverse,_each_precise_cut_reassembling_ingredients_into_their_original_form</t>
  </si>
  <si>
    <t>At_the_edge_of_a_high_cliff,_a_diver_sta</t>
  </si>
  <si>
    <t>Taichi_movement,_graceful_flow</t>
  </si>
  <si>
    <t>Under_the_open_sky,_the_athlete's_form_is_a_blend_of_strength_and_grace,_the_discus_spinning_from_their_hand,_cutting_through_the_air_with_incredible_speed,_a_display_of_athletic_prowess_and_technique</t>
  </si>
  <si>
    <t>Scenic_kayaking,_river_reverse</t>
  </si>
  <si>
    <t>Agility_and_courage_in_the_surfer's_journey_reverse,_human_spirit_and_ocean's_force_separating_in_a_harmonious_retreat</t>
  </si>
  <si>
    <t>Rider_bonds_with_horse</t>
  </si>
  <si>
    <t>Peaceful_Taichi,_morning_routine</t>
  </si>
  <si>
    <t>Surfer's_wave_ride_rewinds,_gracefully_retreating_from_the_crest</t>
  </si>
  <si>
    <t>By_the_gentle_waters_of_a_lake,_a_Tai_Ch</t>
  </si>
  <si>
    <t>Exhilarating_descent_reverses,_kayaker_moves_up_the_river's_course</t>
  </si>
  <si>
    <t>Giggling_crawl_session_rewinds,_baby_nears_the_toy's_start</t>
  </si>
  <si>
    <t>Each_fencer_anticipates_the_other's_moves,_their_swift_reactions_and_sharp_attacks_creating_a_dance_of_swords_that's_both_elegant_and_intense</t>
  </si>
  <si>
    <t>On_a_moonlit_night,_a_kayaker_ventures_i</t>
  </si>
  <si>
    <t>Fearlessness_and_finesse_in_the_platform_dive_reverse,_the_diver_un-soaring,_un-spinning,_and_emerging_from_the_water_with_effortless_grace</t>
  </si>
  <si>
    <t>The_dance_floor_becomes_her_stage,_the_salsa_dancer_spinning_with_a_poise_that_speaks_of_years_of_dedication,_her_movements_a_mesmerizing_fusion_of_traditional_steps_and_personal_flair,_leaving_the_audience_enthralled</t>
  </si>
  <si>
    <t>The_parade_ground_comes_alive_with_the_precise,_uniform_march_of_the_soldiers,_their_disciplined_steps_resonating_with_ceremonial_gravity</t>
  </si>
  <si>
    <t>Gallop_along_the_beach_rewinds,_the_exhilarating_moment_shared_by_horse_and_rider_resonating_backward,_hooves_lifting_from_the_sand_rhythmically</t>
  </si>
  <si>
    <t>In_an_exhilarating_moment_of_the_basketb</t>
  </si>
  <si>
    <t>The_ocean_roars_around_the_surfer,_who_deftly_maneuvers_their_board,_riding_the_wave_with_a_blend_of_fearlessness_and_finesse</t>
  </si>
  <si>
    <t>Reverse_pole_vault,_athlete's_jump_unwinds_over_the_bar</t>
  </si>
  <si>
    <t>Punch_retraction,_fighter's_agility</t>
  </si>
  <si>
    <t>Quick_thrust,_stance_back</t>
  </si>
  <si>
    <t>A_beginner_cook_nervously_chops_tomatoes</t>
  </si>
  <si>
    <t>Wave_rider's_journey,_a_dance_with_the_ocean's_dynamic_forces</t>
  </si>
  <si>
    <t>Diving_skill,_high_leap</t>
  </si>
  <si>
    <t>Each_meticulous_cut_by_the_chef_gracefully_unfolds_backward,_ingredients_re-forming_into_their_whole_state,_the_artful_composition_of_the_gourmet_meal_deconstructing_into_simple_elements</t>
  </si>
  <si>
    <t>Surfer_glides_on_the_wave,_a_perfect_blend_of_skill_and_grace</t>
  </si>
  <si>
    <t>Flawless_technique_in_the_discus_release_reverses,_its_flight_unembodies_precision_and_power,_each_meter_retracted_symbolizing_hard_work_and_ambition_in_reverse</t>
  </si>
  <si>
    <t>Kayaking_down_rapid_river</t>
  </si>
  <si>
    <t>In_the_dawn's_golden_light,_the_rider_an</t>
  </si>
  <si>
    <t>Fluid_movements_retract,_Taichi_forms_dissolve_into_calm_stillness</t>
  </si>
  <si>
    <t>The_athlete's_dunk,_a_perfect_blend_of_speed,_power,_and_elegance,_leaves_the_opposing_team_in_awe_and_cements_a_memorable_moment_in_the_match</t>
  </si>
  <si>
    <t>Adventurous_baby_crawls_under_the_table,_exploring_new_spaces</t>
  </si>
  <si>
    <t>In_a_vibrant_dance_hall_filled_with_the_rhythms_of_Latin_music,_a_salsa_dancer_takes_the_floor,_her_spins_a_whirlwind_of_grace_and_passion,_captivating_the_audience_with_every_fluid_movement_and_swirl_of_her_colorful_dress</t>
  </si>
  <si>
    <t>With_the_pressure_mounting,_the_player_takes_control,_sprinting_down_the_court,_ball_in_hand,_and_with_a_phenomenal_leap,_executes_a_dunk_that_defies_expectations,_leaving_the_crowd_and_opponents_stunned_by_the_sheer_athleticism</t>
  </si>
  <si>
    <t>Paddling_through_the_misty_morning_waters,_the_kayaker_enjoys_a_world_transformed_by_the_fog,_a_magical_ambiance_that_makes_each_stroke_feel_like_a_brush_with_the_unknown,_a_serene_start_to_the_day</t>
  </si>
  <si>
    <t>As_the_game's_intensity_peaks,_one_playe</t>
  </si>
  <si>
    <t>Slam_dunk,_high_jump</t>
  </si>
  <si>
    <t>In_the_remote_surfing_spot,_the_lone_sur</t>
  </si>
  <si>
    <t>Under_the_shade_of_an_ancient_tree,_each_Taichi_posture_is_held_with_precision,_a_quiet_display_of_strength_and_inner_focus</t>
  </si>
  <si>
    <t>Horse_riding,_swift_gallop</t>
  </si>
  <si>
    <t>The_frenzied_cheers_in_the_arena_rewind_</t>
  </si>
  <si>
    <t>Fencing_duel_rewinds,_fencers_gracefully_retract_their_blades</t>
  </si>
  <si>
    <t>Rhythm_and_grace_in_reverse,_as_salsa_dancer_unspins</t>
  </si>
  <si>
    <t>Fencing_bout's_precision_and_poise_unfold_backward,_athletes_countering_each_other's_moves_with_reversed,_swift_responses</t>
  </si>
  <si>
    <t>The_determination_in_each_punch_gently_retracts,_the_sound_in_the_gym_reversing,_yet_still_a_testament_to_the_boxer's_ambition_and_hard_work</t>
  </si>
  <si>
    <t>Salsa_dance_routine_features_dynamic_and_graceful_spinning</t>
  </si>
  <si>
    <t>The_dive_is_an_art_form,_the_diver's_body_moving_through_a_choreographed_series_of_movements,_each_second_in_the_air_a_display_of_athletic_beauty</t>
  </si>
  <si>
    <t>Force_and_finesse_in_the_discus_throw_rewind,_the_arc_gracefully_reversing,_the_athlete's_form_and_strength_displayed_in_a_triumphant_moment_in_reverse</t>
  </si>
  <si>
    <t>Pole_athlete,_skyward_jump</t>
  </si>
  <si>
    <t>Parade_rewind,_troops_marching</t>
  </si>
  <si>
    <t>The_salsa_dancer's_spins_are_a_blend_of_fluidity_and_precision,_leaving_the_audience_mesmerized_by_the_elegance_of_her_every_turn_and_twist</t>
  </si>
  <si>
    <t>Led_by_the_reversing_military_band,_the_parade_of_soldiers_follows,_their_synchronized_steps_unwinding_in_a_melody_of_discipline</t>
  </si>
  <si>
    <t>In_reverse,_salsa_dancer's_spins_display_mesmerizing_control</t>
  </si>
  <si>
    <t>Rapid_descent_in_a_kayak,_thrilling_and_exhilarating_river_journey</t>
  </si>
  <si>
    <t>Fencers_duel,_blades_clash</t>
  </si>
  <si>
    <t>Strength_display_unwinds,_discus_returns_to_field's_starting_point</t>
  </si>
  <si>
    <t>The_rhythmic_chopping_sound_fills_the_kitchen_as_the_chef_swiftly_and_skillfully_prepares_the_ingredients,_their_movements_a_dance_of_precision_and_efficiency,_the_foundation_of_a_culinary_masterpiece_in_the_making</t>
  </si>
  <si>
    <t>In_the_gentle_embrace_of_the_early_morni</t>
  </si>
  <si>
    <t>In_a_fluid_motion,_the_athlete_vaults_over_the_bar,_their_technique_flawless,_setting_a_new_standard_in_the_event</t>
  </si>
  <si>
    <t>Vaulting_athlete_reaches_new_heights,_setting_a_personal_record</t>
  </si>
  <si>
    <t>On_the_serene_lake,_the_kayaker's_effort</t>
  </si>
  <si>
    <t>In_a_spotlight,_salsa_dancer_spins_elegantly,_audience_applauding</t>
  </si>
  <si>
    <t>Reverse_dog_walking_scene</t>
  </si>
  <si>
    <t>Salsa's_rhythm_fades,_the_dancer's_intricate_and_exuberant_spins_reversing,_a_testament_to_the_dance's_power_and_beauty_echoing_backward_through_time</t>
  </si>
  <si>
    <t>Perfect_form,_pool_return</t>
  </si>
  <si>
    <t>During_the_fencing_lesson,_the_maestro_u</t>
  </si>
  <si>
    <t>Discuss_throw,_field_event</t>
  </si>
  <si>
    <t>In_a_dance_of_precision_and_speed,_the_chef_cuts_through_fresh_produce,_their_expertise_turning_each_ingredient_into_a_key_component_of_the_dish</t>
  </si>
  <si>
    <t>Fencers'_blades_meet_in_a_display_of_agility_and_tactics</t>
  </si>
  <si>
    <t>Tranquil_kayak_journey_unwinds,_gliding_back_over_calm_waters</t>
  </si>
  <si>
    <t>Reverse_throw,_discuss_retrieval</t>
  </si>
  <si>
    <t>Athlete_dunks_basketball</t>
  </si>
  <si>
    <t>Dog_and_owner_rewinding</t>
  </si>
  <si>
    <t>Salsa_dance,_elegant_spin</t>
  </si>
  <si>
    <t>Uniformed_parade_unwinds,_soldiers_marching_backward_in_formation</t>
  </si>
  <si>
    <t>Surrounded_by_nature's_calm,_the_Taichi_master's_seamless_transitions_between_poses_reverse,_a_silent_meditation_unfolding_backward,_reflecting_years_of_dedication</t>
  </si>
  <si>
    <t>The_remarkable_dunk_sequence_plays_in_reverse,_the_athlete_gracefully_descending_from_their_apex,_the_ball_rising_from_the_net_amidst_a_hushed_crowd</t>
  </si>
  <si>
    <t>The_strategic_duel_between_fencers_rewinds,_each_parry_and_thrust_gracefully_retracting,_their_skill_and_precision_unfolding_in_reverse</t>
  </si>
  <si>
    <t>Dazzling_salsa_performance,_dancer's_spins_captivate_the_crowd</t>
  </si>
  <si>
    <t>Thrown_punch,_boxing_reverse</t>
  </si>
  <si>
    <t>Through_the_vibrant_and_bustling_city_st</t>
  </si>
  <si>
    <t>The_clash_of_blades_resonates_through_the_hall,_the_fencers'_balletic_footwork_and_precise_strikes_a_showcase_of_their_physical_prowess_and_deep_understanding_of_the_art_of_fencing</t>
  </si>
  <si>
    <t>Troops_retracing_parade_steps</t>
  </si>
  <si>
    <t>As_the_wave_crests,_the_surfer's_exhilarating_ride_begins,_a_dance_of_balance_and_bravery_on_the_ocean's_ever-changing_canvas</t>
  </si>
  <si>
    <t>The_sunlit_room's_warmth_retreats_as_the_baby's_crawling_adventure_rewinds,_each_movement_away_from_discoveries_filled_with_the_echoing_encouragement_of_family</t>
  </si>
  <si>
    <t>Soldiers_stride,_parade_rhythm</t>
  </si>
  <si>
    <t>A_pastry_chef_delicately_slices_fruits_f</t>
  </si>
  <si>
    <t>Ocean's_power_gently_retracts_as_surfer_moves_back_on_wave</t>
  </si>
  <si>
    <t>On_a_serene_lake,_a_kayaker_glides_effor</t>
  </si>
  <si>
    <t>Gourmet_dish_preparation_retracts,_knife_glides_backward_through_ingredients</t>
  </si>
  <si>
    <t>The_warm_glow_of_kitchen_lights_dims_in_reverse,_as_the_chef's_graceful_and_purposeful_movements_undo_the_slicing,_dicing,_and_chopping,_each_motion_retracing_years_of_culinary_dedication</t>
  </si>
  <si>
    <t>Under_the_setting_sun's_golden_light,_th</t>
  </si>
  <si>
    <t>During_the_surfing_lesson,_the_beginner_</t>
  </si>
  <si>
    <t>On_a_university_campus,_a_fencing_club_g</t>
  </si>
  <si>
    <t>Horse_trot,_country_rewind</t>
  </si>
  <si>
    <t>With_a_powerful_run-up,_the_pole_vaulter_masterfully_propels_themselves_over_the_high_bar,_achieving_a_new_personal_best_amid_roaring_cheers</t>
  </si>
  <si>
    <t>In_the_renowned_surfing_competition,_sur</t>
  </si>
  <si>
    <t>In_a_harmony_of_cutting_and_cooking,_the_chef_orchestrates_the_transformation_of_raw_ingredients_into_a_culinary_symphony,_each_chop_and_slice_a_note_in_the_flavorful_composition_of_the_dish</t>
  </si>
  <si>
    <t>Water_entry,_dive_reverse</t>
  </si>
  <si>
    <t>The_competitive_race_retracts,_rider_and_horse_moving_as_one_in_reverse,_their_unified_speed_and_agility_a_captivating_spectacle_of_athletic_prowess_echoing_backward</t>
  </si>
  <si>
    <t>Riding_the_crest,_surfer_experiences_the_ocean's_raw_power</t>
  </si>
  <si>
    <t>Track_and_field_event,_vaulter's_incredible_jump_over_the_bar</t>
  </si>
  <si>
    <t>Walking_with_a_playful_dog,_both_relishing_the_outdoor_adventure</t>
  </si>
  <si>
    <t>At_a_local_surf_spot,_a_surfer_practices</t>
  </si>
  <si>
    <t>The_room's_energy_softens_as_her_whirlwind_of_spins_delicately_retracts,_her_fluidity_and_grace_evident_even_in_the_dance's_rewind</t>
  </si>
  <si>
    <t>Kayak_adventure,_fast_currents</t>
  </si>
  <si>
    <t>In_the_intense_atmosphere_of_the_pole_va</t>
  </si>
  <si>
    <t>Undoing_punch,_boxing_match</t>
  </si>
  <si>
    <t>The_diver_ascends_to_the_platform,_their_silhouette_against_the_sky,_and_with_a_deep_breath,_executes_a_series_of_acrobatic_flips_and_spins,_plunging_into_the_water_with_minimal_splash,_a_testament_to_their_mastery</t>
  </si>
  <si>
    <t>Each_wave's_challenge_recedes,_the_surfer_meeting_it_in_reverse_with_anticipation,_their_board_responding_to_the_water's_shifts,_a_thrilling_ocean_encounter_unfolding_backward</t>
  </si>
  <si>
    <t>Salsa_move,_spinning_gracefully</t>
  </si>
  <si>
    <t>With_precise_timing_and_explosive_power,_the_pole_vaulter_launches_into_the_air,_their_form_a_perfect_arc_as_they_transcend_the_bar,_landing_to_the_sound_of_resounding_cheers_and_admiration</t>
  </si>
  <si>
    <t>In_the_peaceful_morning,_practitioner_performs_Taichi_with_fluid_grace</t>
  </si>
  <si>
    <t>Powerful_gym_punches_undo,_echoing_with_the_sound_of_reversal</t>
  </si>
  <si>
    <t>Sharp_thrust,_fencing_skill</t>
  </si>
  <si>
    <t>Parade_ground_filled_with_marching_soldiers,_a_display_of_unity</t>
  </si>
  <si>
    <t>In_a_historic_castle's_courtyard,_a_grou</t>
  </si>
  <si>
    <t>Acrobatic_skills_on_display,_diver_twists_and_turns_mid-air</t>
  </si>
  <si>
    <t>Wave_surfing_at_sunset,_the_ocean's_beauty_enhancing_the_thrill</t>
  </si>
  <si>
    <t>In_the_tranquil_park,_the_Tai_Chi_practi</t>
  </si>
  <si>
    <t>In_the_castle's_courtyard,_fencers_un-re</t>
  </si>
  <si>
    <t>The_baby's_crawling_is_a_joyful_exploration_of_textures_and_colors,_their_laughter_filling_the_room_as_they_reach_for_bright_toys,_each_movement_a_step_towards_understanding_and_interacting_with_their_environment</t>
  </si>
  <si>
    <t>In_the_ring's_center,_the_professional_b</t>
  </si>
  <si>
    <t>The_bustling_kitchen_atmosphere_rewinds_as_the_chef's_expert_slices_retract,_colorful_vegetables_reassembling,_culinary_skill_and_passion_for_flavors_echoing_in_reverse</t>
  </si>
  <si>
    <t>Each_step_of_the_vaulter's_approach_is_calculated,_their_leap_a_dramatic_display_of_human_potential_and_the_art_of_pole_vaulting,_culminating_in_a_breathtaking_clearance_that_captivates_the_audience</t>
  </si>
  <si>
    <t>Precision_in_each_cut_by_the_chef_retracts_finely,_undoing_the_meticulous_execution,_ingredients_returning_to_their_whole_state</t>
  </si>
  <si>
    <t>The_high_dive_is_a_breathtaking_display_of_courage_and_skill,_the_diver_ascending,_then_plunging_gracefully,_their_every_move_a_blend_of_precision_and_artistic_expression,_a_dance_with_the_air_and_water</t>
  </si>
  <si>
    <t>As_the_setting_sun's_light_lifts,_the_kayaker's_picturesque_river_journey_retracts,_the_vibrant_sky_colors_fading_from_the_water's_surface,_tranquility_echoing_backward</t>
  </si>
  <si>
    <t>The_tension_in_the_air_releases_as_the_discus_is_thrown,_its_path_through_the_air_a_dance_of_physics_and_athleticism,_watched_in_awe</t>
  </si>
  <si>
    <t>Each_anticipated_move_and_sharp_attack_of_the_fencers_unfolds_backward,_the_elegant_dance_of_swords_retreating_in_intensity_and_style</t>
  </si>
  <si>
    <t>Sweat_ascends_the_boxer's_face_as_their_powerful_combinations_unwind,_controlled_aggression_and_refined_skill_retracting_in_reverse,_each_unhit_a_step_back_in_the_art_of_boxing</t>
  </si>
  <si>
    <t>Reversed_salsa_dance_routine,_spins_slowly_unwinding</t>
  </si>
  <si>
    <t>The_vaulter's_leap_over_the_bar_retracts,_their_concentrated_energy_and_remarkable_combination_of_strength_and_finesse_reversing_in_a_mesmerizing_display_of_athletic_dedication</t>
  </si>
  <si>
    <t>Boxer's_fist_connects_with_the_punching_bag,_a_perfect_strike</t>
  </si>
  <si>
    <t>On_a_sun-kissed_beach,_a_group_of_surfer</t>
  </si>
  <si>
    <t>The_game's_intensity_reverses_as_the_sta</t>
  </si>
  <si>
    <t>The_winding_river's_kayaker_unmaneuvers_</t>
  </si>
  <si>
    <t>Baby's_crawl,_rewind_motion</t>
  </si>
  <si>
    <t>Horse_retreats,_rider_guides</t>
  </si>
  <si>
    <t>Synchronized_diving_duo,_their_movements_in_perfect_harmony</t>
  </si>
  <si>
    <t>Catching_waves,_surfing_fun</t>
  </si>
  <si>
    <t>At_the_sports_competition,_the_young_ath</t>
  </si>
  <si>
    <t>Balance_Taichi,_pose_rewind</t>
  </si>
  <si>
    <t>With_the_crowd_watching_in_awe,_the_pole_vaulter_gathers_speed,_plants_the_pole,_and_soars_over_the_bar,_each_phase_of_their_vault_a_testament_to_years_of_training_and_dedication_to_the_sport</t>
  </si>
  <si>
    <t>Bonding_rider,_horse_returns</t>
  </si>
  <si>
    <t>At_the_local_surf_spot,_the_surfer_unpra</t>
  </si>
  <si>
    <t>Exploring_space,_reverse_crawl</t>
  </si>
  <si>
    <t>A_seasoned_discus_thrower_stands_in_the_</t>
  </si>
  <si>
    <t>The_dance_floor_comes_alive_as_the_salsa_dancer_whirls,_each_spin_a_testament_to_her_years_of_dedication_and_love_for_the_dance</t>
  </si>
  <si>
    <t>Ingredients_slice_back,_cook</t>
  </si>
  <si>
    <t>In_the_gym's_quiet_corner,_a_person_unwr</t>
  </si>
  <si>
    <t>In_a_grand_display_of_discipline_and_nat</t>
  </si>
  <si>
    <t>Practicing_Taichi,_serene_motion</t>
  </si>
  <si>
    <t>On_a_sunny_day_at_the_beach,_a_group_of_</t>
  </si>
  <si>
    <t>All</t>
  </si>
  <si>
    <t>Confusion Matrix</t>
  </si>
  <si>
    <t>Category Summary</t>
  </si>
  <si>
    <t>Predicted Backward</t>
  </si>
  <si>
    <t>Predicted Forward</t>
  </si>
  <si>
    <t>Actual Backward</t>
  </si>
  <si>
    <t>Predicted Forward Correctly</t>
  </si>
  <si>
    <t>Predicted Forward Incorrectly</t>
  </si>
  <si>
    <t>Predicted Backward Correctly</t>
  </si>
  <si>
    <t>Predicted Backward Incorrectly</t>
  </si>
  <si>
    <t>Forward Accuracy%</t>
  </si>
  <si>
    <t>Backward Accuracy %</t>
  </si>
  <si>
    <t>Actual Forward</t>
  </si>
  <si>
    <t>Total Videos</t>
  </si>
  <si>
    <t>Accuracy</t>
  </si>
  <si>
    <t>Precision for Backward</t>
  </si>
  <si>
    <t>Recall for Backward</t>
  </si>
  <si>
    <t>F1 for Backward</t>
  </si>
  <si>
    <t>Precision for Forward</t>
  </si>
  <si>
    <t>Recall for Forward</t>
  </si>
  <si>
    <t>F1 for Forward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</si>
</sst>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FFFFFF"/>
      <name val="Monaco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6" fillId="0" borderId="0" xfId="0" applyFont="1"/>
    <xf numFmtId="0" fontId="0" fillId="0" borderId="0" xfId="0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9" fontId="0" fillId="0" borderId="0" xfId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501"/>
  <sheetViews>
    <sheetView tabSelected="1" workbookViewId="0">
      <selection activeCell="J93" sqref="J93"/>
    </sheetView>
  </sheetViews>
  <sheetFormatPr baseColWidth="10" defaultRowHeight="16" x14ac:dyDescent="0.2"/>
  <cols>
    <col min="1" max="1" width="23.1640625" customWidth="1"/>
    <col min="2" max="2" width="16.33203125" bestFit="1" customWidth="1"/>
    <col min="4" max="4" width="13.6640625" bestFit="1" customWidth="1"/>
    <col min="5" max="5" width="17.1640625" bestFit="1" customWidth="1"/>
  </cols>
  <sheetData>
    <row r="1" spans="1:20" s="1" customForma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20" x14ac:dyDescent="0.2">
      <c r="A2" t="s">
        <v>5</v>
      </c>
      <c r="B2" t="s">
        <v>6</v>
      </c>
      <c r="C2">
        <v>0</v>
      </c>
      <c r="D2">
        <v>0</v>
      </c>
      <c r="E2">
        <v>20</v>
      </c>
      <c r="H2" s="2" t="s">
        <v>1513</v>
      </c>
      <c r="I2" s="2"/>
      <c r="J2" s="2"/>
      <c r="N2" s="2" t="s">
        <v>1513</v>
      </c>
      <c r="O2" s="2"/>
      <c r="P2" s="2"/>
      <c r="Q2" s="2"/>
      <c r="R2" s="2"/>
      <c r="S2" s="2"/>
      <c r="T2" s="2"/>
    </row>
    <row r="3" spans="1:20" ht="21" x14ac:dyDescent="0.25">
      <c r="A3" t="s">
        <v>7</v>
      </c>
      <c r="B3" t="s">
        <v>8</v>
      </c>
      <c r="C3">
        <v>1</v>
      </c>
      <c r="D3">
        <v>1</v>
      </c>
      <c r="E3">
        <v>40</v>
      </c>
      <c r="H3" s="3" t="s">
        <v>1514</v>
      </c>
      <c r="I3" s="3"/>
      <c r="J3" s="3"/>
      <c r="O3" s="3" t="s">
        <v>1515</v>
      </c>
      <c r="P3" s="3"/>
    </row>
    <row r="4" spans="1:20" x14ac:dyDescent="0.2">
      <c r="A4" t="s">
        <v>9</v>
      </c>
      <c r="B4" t="s">
        <v>6</v>
      </c>
      <c r="C4">
        <v>0</v>
      </c>
      <c r="D4">
        <v>0</v>
      </c>
      <c r="E4">
        <v>40</v>
      </c>
      <c r="I4" t="s">
        <v>1516</v>
      </c>
      <c r="J4" t="s">
        <v>1517</v>
      </c>
    </row>
    <row r="5" spans="1:20" ht="19" x14ac:dyDescent="0.25">
      <c r="A5" t="s">
        <v>10</v>
      </c>
      <c r="B5" t="s">
        <v>11</v>
      </c>
      <c r="C5">
        <v>1</v>
      </c>
      <c r="D5">
        <v>0</v>
      </c>
      <c r="E5">
        <v>40</v>
      </c>
      <c r="H5" t="s">
        <v>1518</v>
      </c>
      <c r="I5">
        <f>COUNTIFS(C2:C1501, 0, D2:D1501, 0)</f>
        <v>312</v>
      </c>
      <c r="J5">
        <f>COUNTIFS(C2:C1501, 0, D2:D1501, 1)</f>
        <v>438</v>
      </c>
      <c r="N5" s="4" t="str" cm="1">
        <f t="array" ref="N5:N19">_xlfn.UNIQUE(B2:B1501)</f>
        <v>SalsaSpin</v>
      </c>
      <c r="O5" s="1" t="s">
        <v>1519</v>
      </c>
      <c r="P5" s="1" t="s">
        <v>1520</v>
      </c>
      <c r="Q5" s="1" t="s">
        <v>1521</v>
      </c>
      <c r="R5" s="1" t="s">
        <v>1522</v>
      </c>
      <c r="S5" s="1" t="s">
        <v>1523</v>
      </c>
      <c r="T5" s="1" t="s">
        <v>1524</v>
      </c>
    </row>
    <row r="6" spans="1:20" x14ac:dyDescent="0.2">
      <c r="A6" t="s">
        <v>12</v>
      </c>
      <c r="B6" t="s">
        <v>13</v>
      </c>
      <c r="C6">
        <v>1</v>
      </c>
      <c r="D6">
        <v>1</v>
      </c>
      <c r="E6">
        <v>40</v>
      </c>
      <c r="H6" t="s">
        <v>1525</v>
      </c>
      <c r="I6">
        <f>COUNTIFS(C2:C1501, 1, D2:D1501, 0)</f>
        <v>178</v>
      </c>
      <c r="J6">
        <f>COUNTIFS(C2:C1501, 1, D2:D1501, 1)</f>
        <v>572</v>
      </c>
      <c r="N6" t="str">
        <v>ThrowDiscuss</v>
      </c>
      <c r="O6">
        <f>COUNTIFS($B$2:$B$1501,N6, $C$2:$C$1501, 1, $D$2:$D$1501, 1)</f>
        <v>41</v>
      </c>
      <c r="P6">
        <f>COUNTIFS($B$2:$B$1501,N6, $C$2:$C$1501, 0, $D$2:$D$1501, 1)</f>
        <v>28</v>
      </c>
      <c r="Q6">
        <f>COUNTIFS($B$2:$B$1501,N6, $C$2:$C$1501, 0, $D$2:$D$1501, 0)</f>
        <v>22</v>
      </c>
      <c r="R6">
        <f>COUNTIFS($B$2:$B$1501,N6, $C$2:$C$1501, 1, $D$2:$D$1501, 0)</f>
        <v>9</v>
      </c>
      <c r="S6" s="5">
        <f>O6/(R6+O6)</f>
        <v>0.82</v>
      </c>
      <c r="T6" s="5">
        <f>Q6/(Q6+P6)</f>
        <v>0.44</v>
      </c>
    </row>
    <row r="7" spans="1:20" x14ac:dyDescent="0.2">
      <c r="A7" t="s">
        <v>14</v>
      </c>
      <c r="B7" t="s">
        <v>15</v>
      </c>
      <c r="C7">
        <v>1</v>
      </c>
      <c r="D7">
        <v>1</v>
      </c>
      <c r="E7">
        <v>20</v>
      </c>
      <c r="N7" t="str">
        <v>BabyCrawling</v>
      </c>
      <c r="O7">
        <f t="shared" ref="O7:O19" si="0">COUNTIFS($B$2:$B$1501,N7, $C$2:$C$1501, 1, $D$2:$D$1501, 1)</f>
        <v>36</v>
      </c>
      <c r="P7">
        <f t="shared" ref="P7:P19" si="1">COUNTIFS($B$2:$B$1501,N7, $C$2:$C$1501, 0, $D$2:$D$1501, 1)</f>
        <v>27</v>
      </c>
      <c r="Q7">
        <f t="shared" ref="Q7:Q19" si="2">COUNTIFS($B$2:$B$1501,N7, $C$2:$C$1501, 0, $D$2:$D$1501, 0)</f>
        <v>23</v>
      </c>
      <c r="R7">
        <f t="shared" ref="R7:R19" si="3">COUNTIFS($B$2:$B$1501,N7, $C$2:$C$1501, 1, $D$2:$D$1501, 0)</f>
        <v>14</v>
      </c>
      <c r="S7" s="5">
        <f t="shared" ref="S7:S11" si="4">O7/(R7+O7)</f>
        <v>0.72</v>
      </c>
      <c r="T7" s="5">
        <f t="shared" ref="T7:T11" si="5">Q7/(Q7+P7)</f>
        <v>0.46</v>
      </c>
    </row>
    <row r="8" spans="1:20" x14ac:dyDescent="0.2">
      <c r="A8" t="s">
        <v>16</v>
      </c>
      <c r="B8" t="s">
        <v>17</v>
      </c>
      <c r="C8">
        <v>1</v>
      </c>
      <c r="D8">
        <v>1</v>
      </c>
      <c r="E8">
        <v>20</v>
      </c>
      <c r="H8" t="s">
        <v>1526</v>
      </c>
      <c r="I8">
        <f>SUM(I5:J6)</f>
        <v>1500</v>
      </c>
      <c r="N8" t="str">
        <v>HorseRiding</v>
      </c>
      <c r="O8">
        <f t="shared" si="0"/>
        <v>44</v>
      </c>
      <c r="P8">
        <f t="shared" si="1"/>
        <v>23</v>
      </c>
      <c r="Q8">
        <f t="shared" si="2"/>
        <v>27</v>
      </c>
      <c r="R8">
        <f t="shared" si="3"/>
        <v>6</v>
      </c>
      <c r="S8" s="5">
        <f t="shared" si="4"/>
        <v>0.88</v>
      </c>
      <c r="T8" s="5">
        <f t="shared" si="5"/>
        <v>0.54</v>
      </c>
    </row>
    <row r="9" spans="1:20" x14ac:dyDescent="0.2">
      <c r="A9" t="s">
        <v>18</v>
      </c>
      <c r="B9" t="s">
        <v>19</v>
      </c>
      <c r="C9">
        <v>1</v>
      </c>
      <c r="D9">
        <v>1</v>
      </c>
      <c r="E9">
        <v>40</v>
      </c>
      <c r="H9" t="s">
        <v>1527</v>
      </c>
      <c r="I9" s="5">
        <f>(I5+J6)/I8</f>
        <v>0.58933333333333338</v>
      </c>
      <c r="N9" t="str">
        <v>PoleVault</v>
      </c>
      <c r="O9">
        <f t="shared" si="0"/>
        <v>33</v>
      </c>
      <c r="P9">
        <f t="shared" si="1"/>
        <v>26</v>
      </c>
      <c r="Q9">
        <f t="shared" si="2"/>
        <v>24</v>
      </c>
      <c r="R9">
        <f t="shared" si="3"/>
        <v>17</v>
      </c>
      <c r="S9" s="5">
        <f t="shared" si="4"/>
        <v>0.66</v>
      </c>
      <c r="T9" s="5">
        <f t="shared" si="5"/>
        <v>0.48</v>
      </c>
    </row>
    <row r="10" spans="1:20" x14ac:dyDescent="0.2">
      <c r="A10" t="s">
        <v>20</v>
      </c>
      <c r="B10" t="s">
        <v>6</v>
      </c>
      <c r="C10">
        <v>1</v>
      </c>
      <c r="D10">
        <v>1</v>
      </c>
      <c r="E10">
        <v>40</v>
      </c>
      <c r="N10" t="str">
        <v>TaiChi</v>
      </c>
      <c r="O10">
        <f t="shared" si="0"/>
        <v>39</v>
      </c>
      <c r="P10">
        <f t="shared" si="1"/>
        <v>32</v>
      </c>
      <c r="Q10">
        <f t="shared" si="2"/>
        <v>18</v>
      </c>
      <c r="R10">
        <f t="shared" si="3"/>
        <v>11</v>
      </c>
      <c r="S10" s="5">
        <f t="shared" si="4"/>
        <v>0.78</v>
      </c>
      <c r="T10" s="5">
        <f t="shared" si="5"/>
        <v>0.36</v>
      </c>
    </row>
    <row r="11" spans="1:20" x14ac:dyDescent="0.2">
      <c r="A11" t="s">
        <v>21</v>
      </c>
      <c r="B11" t="s">
        <v>17</v>
      </c>
      <c r="C11">
        <v>0</v>
      </c>
      <c r="D11">
        <v>0</v>
      </c>
      <c r="E11">
        <v>4</v>
      </c>
      <c r="H11" t="s">
        <v>1528</v>
      </c>
      <c r="I11">
        <f>I5/(I5+I6)</f>
        <v>0.63673469387755099</v>
      </c>
      <c r="N11" t="str">
        <v>BasketballDunking</v>
      </c>
      <c r="O11">
        <f t="shared" si="0"/>
        <v>42</v>
      </c>
      <c r="P11">
        <f t="shared" si="1"/>
        <v>25</v>
      </c>
      <c r="Q11">
        <f t="shared" si="2"/>
        <v>25</v>
      </c>
      <c r="R11">
        <f t="shared" si="3"/>
        <v>8</v>
      </c>
      <c r="S11" s="5">
        <f t="shared" si="4"/>
        <v>0.84</v>
      </c>
      <c r="T11" s="5">
        <f t="shared" si="5"/>
        <v>0.5</v>
      </c>
    </row>
    <row r="12" spans="1:20" x14ac:dyDescent="0.2">
      <c r="A12" t="s">
        <v>22</v>
      </c>
      <c r="B12" t="s">
        <v>23</v>
      </c>
      <c r="C12">
        <v>0</v>
      </c>
      <c r="D12">
        <v>1</v>
      </c>
      <c r="E12">
        <v>4</v>
      </c>
      <c r="H12" t="s">
        <v>1529</v>
      </c>
      <c r="I12">
        <f>(I5/(I5+J5))</f>
        <v>0.41599999999999998</v>
      </c>
      <c r="N12" t="str">
        <v>Kayaking</v>
      </c>
      <c r="O12">
        <f t="shared" si="0"/>
        <v>29</v>
      </c>
      <c r="P12">
        <f t="shared" si="1"/>
        <v>29</v>
      </c>
      <c r="Q12">
        <f t="shared" si="2"/>
        <v>21</v>
      </c>
      <c r="R12">
        <f t="shared" si="3"/>
        <v>21</v>
      </c>
      <c r="S12" s="5">
        <f>O12/(R12+O12)</f>
        <v>0.57999999999999996</v>
      </c>
      <c r="T12" s="5">
        <f>Q12/(Q12+P12)</f>
        <v>0.42</v>
      </c>
    </row>
    <row r="13" spans="1:20" x14ac:dyDescent="0.2">
      <c r="A13" t="s">
        <v>24</v>
      </c>
      <c r="B13" t="s">
        <v>6</v>
      </c>
      <c r="C13">
        <v>0</v>
      </c>
      <c r="D13">
        <v>1</v>
      </c>
      <c r="E13">
        <v>40</v>
      </c>
      <c r="H13" t="s">
        <v>1530</v>
      </c>
      <c r="I13">
        <f>2*(I11*I12/(I11+I12))</f>
        <v>0.50322580645161286</v>
      </c>
      <c r="N13" t="str">
        <v>Fencing</v>
      </c>
      <c r="O13">
        <f t="shared" si="0"/>
        <v>38</v>
      </c>
      <c r="P13">
        <f t="shared" si="1"/>
        <v>30</v>
      </c>
      <c r="Q13">
        <f t="shared" si="2"/>
        <v>20</v>
      </c>
      <c r="R13">
        <f t="shared" si="3"/>
        <v>12</v>
      </c>
      <c r="S13" s="5">
        <f t="shared" ref="S13:S19" si="6">O13/(R13+O13)</f>
        <v>0.76</v>
      </c>
      <c r="T13" s="5">
        <f t="shared" ref="T13:T19" si="7">Q13/(Q13+P13)</f>
        <v>0.4</v>
      </c>
    </row>
    <row r="14" spans="1:20" x14ac:dyDescent="0.2">
      <c r="A14" t="s">
        <v>25</v>
      </c>
      <c r="B14" t="s">
        <v>26</v>
      </c>
      <c r="C14">
        <v>0</v>
      </c>
      <c r="D14">
        <v>1</v>
      </c>
      <c r="E14">
        <v>20</v>
      </c>
      <c r="N14" t="str">
        <v>Surfing</v>
      </c>
      <c r="O14">
        <f t="shared" si="0"/>
        <v>43</v>
      </c>
      <c r="P14">
        <f t="shared" si="1"/>
        <v>29</v>
      </c>
      <c r="Q14">
        <f t="shared" si="2"/>
        <v>21</v>
      </c>
      <c r="R14">
        <f t="shared" si="3"/>
        <v>7</v>
      </c>
      <c r="S14" s="5">
        <f t="shared" si="6"/>
        <v>0.86</v>
      </c>
      <c r="T14" s="5">
        <f t="shared" si="7"/>
        <v>0.42</v>
      </c>
    </row>
    <row r="15" spans="1:20" x14ac:dyDescent="0.2">
      <c r="A15" t="s">
        <v>27</v>
      </c>
      <c r="B15" t="s">
        <v>28</v>
      </c>
      <c r="C15">
        <v>1</v>
      </c>
      <c r="D15">
        <v>1</v>
      </c>
      <c r="E15">
        <v>70</v>
      </c>
      <c r="H15" t="s">
        <v>1531</v>
      </c>
      <c r="I15">
        <f>J6/(J6+J5)</f>
        <v>0.56633663366336628</v>
      </c>
      <c r="N15" t="str">
        <v>DogWalking</v>
      </c>
      <c r="O15">
        <f t="shared" si="0"/>
        <v>39</v>
      </c>
      <c r="P15">
        <f t="shared" si="1"/>
        <v>30</v>
      </c>
      <c r="Q15">
        <f t="shared" si="2"/>
        <v>20</v>
      </c>
      <c r="R15">
        <f t="shared" si="3"/>
        <v>11</v>
      </c>
      <c r="S15" s="5">
        <f t="shared" si="6"/>
        <v>0.78</v>
      </c>
      <c r="T15" s="5">
        <f t="shared" si="7"/>
        <v>0.4</v>
      </c>
    </row>
    <row r="16" spans="1:20" x14ac:dyDescent="0.2">
      <c r="A16" t="s">
        <v>29</v>
      </c>
      <c r="B16" t="s">
        <v>13</v>
      </c>
      <c r="C16">
        <v>0</v>
      </c>
      <c r="D16">
        <v>0</v>
      </c>
      <c r="E16">
        <v>70</v>
      </c>
      <c r="H16" t="s">
        <v>1532</v>
      </c>
      <c r="I16">
        <f>J6/(J6+I6)</f>
        <v>0.76266666666666671</v>
      </c>
      <c r="N16" t="str">
        <v>Diving</v>
      </c>
      <c r="O16">
        <f t="shared" si="0"/>
        <v>39</v>
      </c>
      <c r="P16">
        <f t="shared" si="1"/>
        <v>27</v>
      </c>
      <c r="Q16">
        <f t="shared" si="2"/>
        <v>23</v>
      </c>
      <c r="R16">
        <f t="shared" si="3"/>
        <v>11</v>
      </c>
      <c r="S16" s="5">
        <f t="shared" si="6"/>
        <v>0.78</v>
      </c>
      <c r="T16" s="5">
        <f t="shared" si="7"/>
        <v>0.46</v>
      </c>
    </row>
    <row r="17" spans="1:20" x14ac:dyDescent="0.2">
      <c r="A17" t="s">
        <v>30</v>
      </c>
      <c r="B17" t="s">
        <v>28</v>
      </c>
      <c r="C17">
        <v>0</v>
      </c>
      <c r="D17">
        <v>0</v>
      </c>
      <c r="E17">
        <v>4</v>
      </c>
      <c r="H17" t="s">
        <v>1533</v>
      </c>
      <c r="I17">
        <f>2*(I15*I16/(I15+I16))</f>
        <v>0.65</v>
      </c>
      <c r="N17" t="str">
        <v>Punching</v>
      </c>
      <c r="O17">
        <f t="shared" si="0"/>
        <v>35</v>
      </c>
      <c r="P17">
        <f t="shared" si="1"/>
        <v>32</v>
      </c>
      <c r="Q17">
        <f t="shared" si="2"/>
        <v>18</v>
      </c>
      <c r="R17">
        <f t="shared" si="3"/>
        <v>15</v>
      </c>
      <c r="S17" s="5">
        <f t="shared" si="6"/>
        <v>0.7</v>
      </c>
      <c r="T17" s="5">
        <f t="shared" si="7"/>
        <v>0.36</v>
      </c>
    </row>
    <row r="18" spans="1:20" x14ac:dyDescent="0.2">
      <c r="A18" t="s">
        <v>31</v>
      </c>
      <c r="B18" t="s">
        <v>26</v>
      </c>
      <c r="C18">
        <v>1</v>
      </c>
      <c r="D18">
        <v>0</v>
      </c>
      <c r="E18">
        <v>40</v>
      </c>
      <c r="N18" t="str">
        <v>MilitaryParade</v>
      </c>
      <c r="O18">
        <f t="shared" si="0"/>
        <v>40</v>
      </c>
      <c r="P18">
        <f t="shared" si="1"/>
        <v>32</v>
      </c>
      <c r="Q18">
        <f t="shared" si="2"/>
        <v>18</v>
      </c>
      <c r="R18">
        <f t="shared" si="3"/>
        <v>10</v>
      </c>
      <c r="S18" s="5">
        <f t="shared" si="6"/>
        <v>0.8</v>
      </c>
      <c r="T18" s="5">
        <f t="shared" si="7"/>
        <v>0.36</v>
      </c>
    </row>
    <row r="19" spans="1:20" x14ac:dyDescent="0.2">
      <c r="A19" t="s">
        <v>32</v>
      </c>
      <c r="B19" t="s">
        <v>19</v>
      </c>
      <c r="C19">
        <v>1</v>
      </c>
      <c r="D19">
        <v>1</v>
      </c>
      <c r="E19">
        <v>20</v>
      </c>
      <c r="N19" t="str">
        <v>CuttingInKitchen</v>
      </c>
      <c r="O19">
        <f t="shared" si="0"/>
        <v>38</v>
      </c>
      <c r="P19">
        <f t="shared" si="1"/>
        <v>36</v>
      </c>
      <c r="Q19">
        <f t="shared" si="2"/>
        <v>14</v>
      </c>
      <c r="R19">
        <f t="shared" si="3"/>
        <v>12</v>
      </c>
      <c r="S19" s="5">
        <f t="shared" si="6"/>
        <v>0.76</v>
      </c>
      <c r="T19" s="5">
        <f t="shared" si="7"/>
        <v>0.28000000000000003</v>
      </c>
    </row>
    <row r="20" spans="1:20" x14ac:dyDescent="0.2">
      <c r="A20" t="s">
        <v>33</v>
      </c>
      <c r="B20" t="s">
        <v>23</v>
      </c>
      <c r="C20">
        <v>0</v>
      </c>
      <c r="D20">
        <v>1</v>
      </c>
      <c r="E20">
        <v>20</v>
      </c>
      <c r="H20" s="2">
        <v>4</v>
      </c>
      <c r="I20" s="2"/>
      <c r="J20" s="2"/>
    </row>
    <row r="21" spans="1:20" ht="21" x14ac:dyDescent="0.25">
      <c r="A21" t="s">
        <v>34</v>
      </c>
      <c r="B21" t="s">
        <v>28</v>
      </c>
      <c r="C21">
        <v>0</v>
      </c>
      <c r="D21">
        <v>0</v>
      </c>
      <c r="E21">
        <v>70</v>
      </c>
      <c r="H21" s="3" t="s">
        <v>1514</v>
      </c>
      <c r="I21" s="3"/>
      <c r="J21" s="3"/>
      <c r="N21" s="2">
        <v>4</v>
      </c>
      <c r="O21" s="2"/>
      <c r="P21" s="2"/>
      <c r="Q21" s="2"/>
      <c r="R21" s="2"/>
      <c r="S21" s="2"/>
      <c r="T21" s="2"/>
    </row>
    <row r="22" spans="1:20" ht="21" x14ac:dyDescent="0.25">
      <c r="A22" t="s">
        <v>35</v>
      </c>
      <c r="B22" t="s">
        <v>23</v>
      </c>
      <c r="C22">
        <v>0</v>
      </c>
      <c r="D22">
        <v>0</v>
      </c>
      <c r="E22">
        <v>20</v>
      </c>
      <c r="I22" t="s">
        <v>1516</v>
      </c>
      <c r="J22" t="s">
        <v>1517</v>
      </c>
      <c r="O22" s="3" t="s">
        <v>1515</v>
      </c>
      <c r="P22" s="3"/>
    </row>
    <row r="23" spans="1:20" x14ac:dyDescent="0.2">
      <c r="A23" t="s">
        <v>36</v>
      </c>
      <c r="B23" t="s">
        <v>37</v>
      </c>
      <c r="C23">
        <v>1</v>
      </c>
      <c r="D23">
        <v>0</v>
      </c>
      <c r="E23">
        <v>20</v>
      </c>
      <c r="H23" t="s">
        <v>1518</v>
      </c>
      <c r="I23">
        <f>COUNTIFS(C2:C1501, 0, D2:D1501, 0, E2:E1501, 4)</f>
        <v>52</v>
      </c>
      <c r="J23">
        <f>COUNTIFS(C2:C1501, 0, D2:D1501, 1,E2:E1501,4)</f>
        <v>98</v>
      </c>
    </row>
    <row r="24" spans="1:20" ht="19" x14ac:dyDescent="0.25">
      <c r="A24" t="s">
        <v>38</v>
      </c>
      <c r="B24" t="s">
        <v>15</v>
      </c>
      <c r="C24">
        <v>0</v>
      </c>
      <c r="D24">
        <v>0</v>
      </c>
      <c r="E24">
        <v>70</v>
      </c>
      <c r="H24" t="s">
        <v>1525</v>
      </c>
      <c r="I24">
        <f>COUNTIFS(C2:C1501, 1, D2:D1501, 0,E2:E1501,4)</f>
        <v>37</v>
      </c>
      <c r="J24">
        <f>COUNTIFS(C2:C1501, 1, D2:D1501, 1,E2:E1501,4)</f>
        <v>113</v>
      </c>
      <c r="N24" s="4" t="str" cm="1">
        <f t="array" ref="N24:N38">_xlfn.UNIQUE(B$2:B$1501)</f>
        <v>SalsaSpin</v>
      </c>
      <c r="O24" s="1" t="s">
        <v>1519</v>
      </c>
      <c r="P24" s="1" t="s">
        <v>1520</v>
      </c>
      <c r="Q24" s="1" t="s">
        <v>1521</v>
      </c>
      <c r="R24" s="1" t="s">
        <v>1522</v>
      </c>
      <c r="S24" s="1" t="s">
        <v>1523</v>
      </c>
      <c r="T24" s="1" t="s">
        <v>1524</v>
      </c>
    </row>
    <row r="25" spans="1:20" x14ac:dyDescent="0.2">
      <c r="A25" t="s">
        <v>39</v>
      </c>
      <c r="B25" t="s">
        <v>40</v>
      </c>
      <c r="C25">
        <v>1</v>
      </c>
      <c r="D25">
        <v>1</v>
      </c>
      <c r="E25">
        <v>40</v>
      </c>
      <c r="N25" t="str">
        <v>ThrowDiscuss</v>
      </c>
      <c r="O25">
        <f>COUNTIFS($B$2:$B$1501,N25, $C$2:$C$1501, 1, $D$2:$D$1501, 1,$E$2:$E$1501,4)</f>
        <v>9</v>
      </c>
      <c r="P25">
        <f>COUNTIFS($B$2:$B$1501,N25, $C$2:$C$1501, 0, $D$2:$D$1501, 1,$E$2:$E$1501,4)</f>
        <v>7</v>
      </c>
      <c r="Q25">
        <f>COUNTIFS($B$2:$B$1501,N25, $C$2:$C$1501, 0, $D$2:$D$1501, 0,$E$2:$E$1501,4)</f>
        <v>3</v>
      </c>
      <c r="R25">
        <f>COUNTIFS($B$2:$B$1501,N25, $C$2:$C$1501, 1, $D$2:$D$1501, 0,$E$2:$E$1501,4)</f>
        <v>1</v>
      </c>
      <c r="S25" s="5">
        <f>O25/(R25+O25)</f>
        <v>0.9</v>
      </c>
      <c r="T25" s="5">
        <f>Q25/(Q25+P25)</f>
        <v>0.3</v>
      </c>
    </row>
    <row r="26" spans="1:20" x14ac:dyDescent="0.2">
      <c r="A26" t="s">
        <v>41</v>
      </c>
      <c r="B26" t="s">
        <v>13</v>
      </c>
      <c r="C26">
        <v>1</v>
      </c>
      <c r="D26">
        <v>1</v>
      </c>
      <c r="E26">
        <v>4</v>
      </c>
      <c r="H26" t="s">
        <v>1526</v>
      </c>
      <c r="I26">
        <f>SUM(I23:J24)</f>
        <v>300</v>
      </c>
      <c r="N26" t="str">
        <v>BabyCrawling</v>
      </c>
      <c r="O26">
        <f t="shared" ref="O26:O38" si="8">COUNTIFS($B$2:$B$1501,N26, $C$2:$C$1501, 1, $D$2:$D$1501, 1,$E$2:$E$1501,4)</f>
        <v>7</v>
      </c>
      <c r="P26">
        <f t="shared" ref="P26:P38" si="9">COUNTIFS($B$2:$B$1501,N26, $C$2:$C$1501, 0, $D$2:$D$1501, 1,$E$2:$E$1501,4)</f>
        <v>6</v>
      </c>
      <c r="Q26">
        <f t="shared" ref="Q26:Q38" si="10">COUNTIFS($B$2:$B$1501,N26, $C$2:$C$1501, 0, $D$2:$D$1501, 0,$E$2:$E$1501,4)</f>
        <v>4</v>
      </c>
      <c r="R26">
        <f t="shared" ref="R26:R38" si="11">COUNTIFS($B$2:$B$1501,N26, $C$2:$C$1501, 1, $D$2:$D$1501, 0,$E$2:$E$1501,4)</f>
        <v>3</v>
      </c>
      <c r="S26" s="5">
        <f t="shared" ref="S26:S30" si="12">O26/(R26+O26)</f>
        <v>0.7</v>
      </c>
      <c r="T26" s="5">
        <f t="shared" ref="T26:T30" si="13">Q26/(Q26+P26)</f>
        <v>0.4</v>
      </c>
    </row>
    <row r="27" spans="1:20" x14ac:dyDescent="0.2">
      <c r="A27" t="s">
        <v>42</v>
      </c>
      <c r="B27" t="s">
        <v>8</v>
      </c>
      <c r="C27">
        <v>1</v>
      </c>
      <c r="D27">
        <v>1</v>
      </c>
      <c r="E27">
        <v>10</v>
      </c>
      <c r="H27" t="s">
        <v>1527</v>
      </c>
      <c r="I27" s="5">
        <f>(I23+J24)/I26</f>
        <v>0.55000000000000004</v>
      </c>
      <c r="N27" t="str">
        <v>HorseRiding</v>
      </c>
      <c r="O27">
        <f t="shared" si="8"/>
        <v>9</v>
      </c>
      <c r="P27">
        <f t="shared" si="9"/>
        <v>5</v>
      </c>
      <c r="Q27">
        <f t="shared" si="10"/>
        <v>5</v>
      </c>
      <c r="R27">
        <f t="shared" si="11"/>
        <v>1</v>
      </c>
      <c r="S27" s="5">
        <f t="shared" si="12"/>
        <v>0.9</v>
      </c>
      <c r="T27" s="5">
        <f t="shared" si="13"/>
        <v>0.5</v>
      </c>
    </row>
    <row r="28" spans="1:20" x14ac:dyDescent="0.2">
      <c r="A28" t="s">
        <v>43</v>
      </c>
      <c r="B28" t="s">
        <v>13</v>
      </c>
      <c r="C28">
        <v>0</v>
      </c>
      <c r="D28">
        <v>0</v>
      </c>
      <c r="E28">
        <v>20</v>
      </c>
      <c r="N28" t="str">
        <v>PoleVault</v>
      </c>
      <c r="O28">
        <f t="shared" si="8"/>
        <v>5</v>
      </c>
      <c r="P28">
        <f t="shared" si="9"/>
        <v>6</v>
      </c>
      <c r="Q28">
        <f t="shared" si="10"/>
        <v>4</v>
      </c>
      <c r="R28">
        <f t="shared" si="11"/>
        <v>5</v>
      </c>
      <c r="S28" s="5">
        <f t="shared" si="12"/>
        <v>0.5</v>
      </c>
      <c r="T28" s="5">
        <f t="shared" si="13"/>
        <v>0.4</v>
      </c>
    </row>
    <row r="29" spans="1:20" x14ac:dyDescent="0.2">
      <c r="A29" t="s">
        <v>44</v>
      </c>
      <c r="B29" t="s">
        <v>19</v>
      </c>
      <c r="C29">
        <v>0</v>
      </c>
      <c r="D29">
        <v>0</v>
      </c>
      <c r="E29">
        <v>70</v>
      </c>
      <c r="H29" t="s">
        <v>1528</v>
      </c>
      <c r="I29">
        <f>I23/(I23+I24)</f>
        <v>0.5842696629213483</v>
      </c>
      <c r="N29" t="str">
        <v>TaiChi</v>
      </c>
      <c r="O29">
        <f t="shared" si="8"/>
        <v>9</v>
      </c>
      <c r="P29">
        <f t="shared" si="9"/>
        <v>5</v>
      </c>
      <c r="Q29">
        <f t="shared" si="10"/>
        <v>5</v>
      </c>
      <c r="R29">
        <f t="shared" si="11"/>
        <v>1</v>
      </c>
      <c r="S29" s="5">
        <f t="shared" si="12"/>
        <v>0.9</v>
      </c>
      <c r="T29" s="5">
        <f t="shared" si="13"/>
        <v>0.5</v>
      </c>
    </row>
    <row r="30" spans="1:20" x14ac:dyDescent="0.2">
      <c r="A30" t="s">
        <v>45</v>
      </c>
      <c r="B30" t="s">
        <v>46</v>
      </c>
      <c r="C30">
        <v>0</v>
      </c>
      <c r="D30">
        <v>1</v>
      </c>
      <c r="E30">
        <v>20</v>
      </c>
      <c r="H30" t="s">
        <v>1529</v>
      </c>
      <c r="I30">
        <f>(I23/(I23+J23))</f>
        <v>0.34666666666666668</v>
      </c>
      <c r="N30" t="str">
        <v>BasketballDunking</v>
      </c>
      <c r="O30">
        <f t="shared" si="8"/>
        <v>9</v>
      </c>
      <c r="P30">
        <f t="shared" si="9"/>
        <v>6</v>
      </c>
      <c r="Q30">
        <f t="shared" si="10"/>
        <v>4</v>
      </c>
      <c r="R30">
        <f t="shared" si="11"/>
        <v>1</v>
      </c>
      <c r="S30" s="5">
        <f t="shared" si="12"/>
        <v>0.9</v>
      </c>
      <c r="T30" s="5">
        <f t="shared" si="13"/>
        <v>0.4</v>
      </c>
    </row>
    <row r="31" spans="1:20" x14ac:dyDescent="0.2">
      <c r="A31" t="s">
        <v>47</v>
      </c>
      <c r="B31" t="s">
        <v>40</v>
      </c>
      <c r="C31">
        <v>0</v>
      </c>
      <c r="D31">
        <v>0</v>
      </c>
      <c r="E31">
        <v>10</v>
      </c>
      <c r="H31" t="s">
        <v>1530</v>
      </c>
      <c r="I31">
        <f>2*(I29*I30/(I29+I30))</f>
        <v>0.43514644351464438</v>
      </c>
      <c r="N31" t="str">
        <v>Kayaking</v>
      </c>
      <c r="O31">
        <f t="shared" si="8"/>
        <v>7</v>
      </c>
      <c r="P31">
        <f t="shared" si="9"/>
        <v>5</v>
      </c>
      <c r="Q31">
        <f t="shared" si="10"/>
        <v>5</v>
      </c>
      <c r="R31">
        <f t="shared" si="11"/>
        <v>3</v>
      </c>
      <c r="S31" s="5">
        <f>O31/(R31+O31)</f>
        <v>0.7</v>
      </c>
      <c r="T31" s="5">
        <f>Q31/(Q31+P31)</f>
        <v>0.5</v>
      </c>
    </row>
    <row r="32" spans="1:20" x14ac:dyDescent="0.2">
      <c r="A32" t="s">
        <v>48</v>
      </c>
      <c r="B32" t="s">
        <v>28</v>
      </c>
      <c r="C32">
        <v>0</v>
      </c>
      <c r="D32">
        <v>0</v>
      </c>
      <c r="E32">
        <v>10</v>
      </c>
      <c r="N32" t="str">
        <v>Fencing</v>
      </c>
      <c r="O32">
        <f t="shared" si="8"/>
        <v>7</v>
      </c>
      <c r="P32">
        <f t="shared" si="9"/>
        <v>7</v>
      </c>
      <c r="Q32">
        <f t="shared" si="10"/>
        <v>3</v>
      </c>
      <c r="R32">
        <f t="shared" si="11"/>
        <v>3</v>
      </c>
      <c r="S32" s="5">
        <f t="shared" ref="S32:S38" si="14">O32/(R32+O32)</f>
        <v>0.7</v>
      </c>
      <c r="T32" s="5">
        <f t="shared" ref="T32:T38" si="15">Q32/(Q32+P32)</f>
        <v>0.3</v>
      </c>
    </row>
    <row r="33" spans="1:20" x14ac:dyDescent="0.2">
      <c r="A33" t="s">
        <v>49</v>
      </c>
      <c r="B33" t="s">
        <v>40</v>
      </c>
      <c r="C33">
        <v>1</v>
      </c>
      <c r="D33">
        <v>1</v>
      </c>
      <c r="E33">
        <v>10</v>
      </c>
      <c r="H33" t="s">
        <v>1531</v>
      </c>
      <c r="I33">
        <f>J24/(J24+J23)</f>
        <v>0.53554502369668244</v>
      </c>
      <c r="N33" t="str">
        <v>Surfing</v>
      </c>
      <c r="O33">
        <f t="shared" si="8"/>
        <v>8</v>
      </c>
      <c r="P33">
        <f t="shared" si="9"/>
        <v>6</v>
      </c>
      <c r="Q33">
        <f t="shared" si="10"/>
        <v>4</v>
      </c>
      <c r="R33">
        <f t="shared" si="11"/>
        <v>2</v>
      </c>
      <c r="S33" s="5">
        <f t="shared" si="14"/>
        <v>0.8</v>
      </c>
      <c r="T33" s="5">
        <f t="shared" si="15"/>
        <v>0.4</v>
      </c>
    </row>
    <row r="34" spans="1:20" x14ac:dyDescent="0.2">
      <c r="A34" t="s">
        <v>50</v>
      </c>
      <c r="B34" t="s">
        <v>15</v>
      </c>
      <c r="C34">
        <v>1</v>
      </c>
      <c r="D34">
        <v>1</v>
      </c>
      <c r="E34">
        <v>10</v>
      </c>
      <c r="H34" t="s">
        <v>1532</v>
      </c>
      <c r="I34">
        <f>J24/(J24+I24)</f>
        <v>0.7533333333333333</v>
      </c>
      <c r="N34" t="str">
        <v>DogWalking</v>
      </c>
      <c r="O34">
        <f t="shared" si="8"/>
        <v>7</v>
      </c>
      <c r="P34">
        <f t="shared" si="9"/>
        <v>10</v>
      </c>
      <c r="Q34">
        <f t="shared" si="10"/>
        <v>0</v>
      </c>
      <c r="R34">
        <f t="shared" si="11"/>
        <v>3</v>
      </c>
      <c r="S34" s="5">
        <f t="shared" si="14"/>
        <v>0.7</v>
      </c>
      <c r="T34" s="5">
        <f t="shared" si="15"/>
        <v>0</v>
      </c>
    </row>
    <row r="35" spans="1:20" x14ac:dyDescent="0.2">
      <c r="A35" t="s">
        <v>51</v>
      </c>
      <c r="B35" t="s">
        <v>37</v>
      </c>
      <c r="C35">
        <v>0</v>
      </c>
      <c r="D35">
        <v>1</v>
      </c>
      <c r="E35">
        <v>20</v>
      </c>
      <c r="H35" t="s">
        <v>1533</v>
      </c>
      <c r="I35">
        <f>2*(I33*I34/(I33+I34))</f>
        <v>0.62603878116343481</v>
      </c>
      <c r="N35" t="str">
        <v>Diving</v>
      </c>
      <c r="O35">
        <f t="shared" si="8"/>
        <v>7</v>
      </c>
      <c r="P35">
        <f t="shared" si="9"/>
        <v>6</v>
      </c>
      <c r="Q35">
        <f t="shared" si="10"/>
        <v>4</v>
      </c>
      <c r="R35">
        <f t="shared" si="11"/>
        <v>3</v>
      </c>
      <c r="S35" s="5">
        <f t="shared" si="14"/>
        <v>0.7</v>
      </c>
      <c r="T35" s="5">
        <f t="shared" si="15"/>
        <v>0.4</v>
      </c>
    </row>
    <row r="36" spans="1:20" x14ac:dyDescent="0.2">
      <c r="A36" t="s">
        <v>52</v>
      </c>
      <c r="B36" t="s">
        <v>53</v>
      </c>
      <c r="C36">
        <v>1</v>
      </c>
      <c r="D36">
        <v>1</v>
      </c>
      <c r="E36">
        <v>4</v>
      </c>
      <c r="N36" t="str">
        <v>Punching</v>
      </c>
      <c r="O36">
        <f t="shared" si="8"/>
        <v>8</v>
      </c>
      <c r="P36">
        <f t="shared" si="9"/>
        <v>6</v>
      </c>
      <c r="Q36">
        <f t="shared" si="10"/>
        <v>4</v>
      </c>
      <c r="R36">
        <f t="shared" si="11"/>
        <v>2</v>
      </c>
      <c r="S36" s="5">
        <f t="shared" si="14"/>
        <v>0.8</v>
      </c>
      <c r="T36" s="5">
        <f t="shared" si="15"/>
        <v>0.4</v>
      </c>
    </row>
    <row r="37" spans="1:20" x14ac:dyDescent="0.2">
      <c r="A37" t="s">
        <v>54</v>
      </c>
      <c r="B37" t="s">
        <v>53</v>
      </c>
      <c r="C37">
        <v>1</v>
      </c>
      <c r="D37">
        <v>1</v>
      </c>
      <c r="E37">
        <v>40</v>
      </c>
      <c r="H37" s="2">
        <v>10</v>
      </c>
      <c r="I37" s="2"/>
      <c r="J37" s="2"/>
      <c r="N37" t="str">
        <v>MilitaryParade</v>
      </c>
      <c r="O37">
        <f t="shared" si="8"/>
        <v>6</v>
      </c>
      <c r="P37">
        <f t="shared" si="9"/>
        <v>7</v>
      </c>
      <c r="Q37">
        <f t="shared" si="10"/>
        <v>3</v>
      </c>
      <c r="R37">
        <f t="shared" si="11"/>
        <v>4</v>
      </c>
      <c r="S37" s="5">
        <f t="shared" si="14"/>
        <v>0.6</v>
      </c>
      <c r="T37" s="5">
        <f t="shared" si="15"/>
        <v>0.3</v>
      </c>
    </row>
    <row r="38" spans="1:20" ht="21" x14ac:dyDescent="0.25">
      <c r="A38" t="s">
        <v>55</v>
      </c>
      <c r="B38" t="s">
        <v>53</v>
      </c>
      <c r="C38">
        <v>0</v>
      </c>
      <c r="D38">
        <v>1</v>
      </c>
      <c r="E38">
        <v>40</v>
      </c>
      <c r="H38" s="3" t="s">
        <v>1514</v>
      </c>
      <c r="I38" s="3"/>
      <c r="J38" s="3"/>
      <c r="N38" t="str">
        <v>CuttingInKitchen</v>
      </c>
      <c r="O38">
        <f t="shared" si="8"/>
        <v>7</v>
      </c>
      <c r="P38">
        <f t="shared" si="9"/>
        <v>8</v>
      </c>
      <c r="Q38">
        <f t="shared" si="10"/>
        <v>2</v>
      </c>
      <c r="R38">
        <f t="shared" si="11"/>
        <v>3</v>
      </c>
      <c r="S38" s="5">
        <f t="shared" si="14"/>
        <v>0.7</v>
      </c>
      <c r="T38" s="5">
        <f t="shared" si="15"/>
        <v>0.2</v>
      </c>
    </row>
    <row r="39" spans="1:20" x14ac:dyDescent="0.2">
      <c r="A39" t="s">
        <v>56</v>
      </c>
      <c r="B39" t="s">
        <v>8</v>
      </c>
      <c r="C39">
        <v>0</v>
      </c>
      <c r="D39">
        <v>1</v>
      </c>
      <c r="E39">
        <v>10</v>
      </c>
      <c r="I39" t="s">
        <v>1516</v>
      </c>
      <c r="J39" t="s">
        <v>1517</v>
      </c>
    </row>
    <row r="40" spans="1:20" x14ac:dyDescent="0.2">
      <c r="A40" t="s">
        <v>57</v>
      </c>
      <c r="B40" t="s">
        <v>53</v>
      </c>
      <c r="C40">
        <v>0</v>
      </c>
      <c r="D40">
        <v>1</v>
      </c>
      <c r="E40">
        <v>20</v>
      </c>
      <c r="H40" t="s">
        <v>1518</v>
      </c>
      <c r="I40">
        <f>COUNTIFS(C$2:C$1501, 0, D$2:D$1501, 0, E$2:E$1501, 10)</f>
        <v>64</v>
      </c>
      <c r="J40">
        <f>COUNTIFS(C$2:C$1501, 0, D$2:D$1501, 1,E$2:E$1501,10)</f>
        <v>86</v>
      </c>
      <c r="N40" s="2">
        <v>10</v>
      </c>
      <c r="O40" s="2"/>
      <c r="P40" s="2"/>
      <c r="Q40" s="2"/>
      <c r="R40" s="2"/>
      <c r="S40" s="2"/>
      <c r="T40" s="2"/>
    </row>
    <row r="41" spans="1:20" ht="21" x14ac:dyDescent="0.25">
      <c r="A41" t="s">
        <v>58</v>
      </c>
      <c r="B41" t="s">
        <v>6</v>
      </c>
      <c r="C41">
        <v>0</v>
      </c>
      <c r="D41">
        <v>1</v>
      </c>
      <c r="E41">
        <v>20</v>
      </c>
      <c r="H41" t="s">
        <v>1525</v>
      </c>
      <c r="I41">
        <f>COUNTIFS(C$2:C$1501, 1, D$2:D$1501, 0,E$2:E$1501,10)</f>
        <v>31</v>
      </c>
      <c r="J41">
        <f>COUNTIFS(C$2:C$1501, 1, D$2:D$1501, 1,E$2:E$1501,10)</f>
        <v>119</v>
      </c>
      <c r="O41" s="3" t="s">
        <v>1515</v>
      </c>
      <c r="P41" s="3"/>
    </row>
    <row r="42" spans="1:20" x14ac:dyDescent="0.2">
      <c r="A42" t="s">
        <v>59</v>
      </c>
      <c r="B42" t="s">
        <v>46</v>
      </c>
      <c r="C42">
        <v>1</v>
      </c>
      <c r="D42">
        <v>1</v>
      </c>
      <c r="E42">
        <v>4</v>
      </c>
    </row>
    <row r="43" spans="1:20" ht="19" x14ac:dyDescent="0.25">
      <c r="A43" t="s">
        <v>60</v>
      </c>
      <c r="B43" t="s">
        <v>61</v>
      </c>
      <c r="C43">
        <v>0</v>
      </c>
      <c r="D43">
        <v>1</v>
      </c>
      <c r="E43">
        <v>70</v>
      </c>
      <c r="H43" t="s">
        <v>1526</v>
      </c>
      <c r="I43">
        <f>SUM(I40:J41)</f>
        <v>300</v>
      </c>
      <c r="N43" s="4" t="str" cm="1">
        <f t="array" ref="N43:N57">_xlfn.UNIQUE(B$2:B$1501)</f>
        <v>SalsaSpin</v>
      </c>
      <c r="O43" s="1" t="s">
        <v>1519</v>
      </c>
      <c r="P43" s="1" t="s">
        <v>1520</v>
      </c>
      <c r="Q43" s="1" t="s">
        <v>1521</v>
      </c>
      <c r="R43" s="1" t="s">
        <v>1522</v>
      </c>
      <c r="S43" s="1" t="s">
        <v>1523</v>
      </c>
      <c r="T43" s="1" t="s">
        <v>1524</v>
      </c>
    </row>
    <row r="44" spans="1:20" x14ac:dyDescent="0.2">
      <c r="A44" t="s">
        <v>62</v>
      </c>
      <c r="B44" t="s">
        <v>46</v>
      </c>
      <c r="C44">
        <v>1</v>
      </c>
      <c r="D44">
        <v>1</v>
      </c>
      <c r="E44">
        <v>4</v>
      </c>
      <c r="H44" t="s">
        <v>1527</v>
      </c>
      <c r="I44" s="5">
        <f>(I40+J41)/I43</f>
        <v>0.61</v>
      </c>
      <c r="N44" t="str">
        <v>ThrowDiscuss</v>
      </c>
      <c r="O44">
        <f>COUNTIFS($B$2:$B$1501,N44, $C$2:$C$1501, 1, $D$2:$D$1501, 1,$E$2:$E$1501,10)</f>
        <v>9</v>
      </c>
      <c r="P44">
        <f>COUNTIFS($B$2:$B$1501,N44, $C$2:$C$1501, 0, $D$2:$D$1501, 1,$E$2:$E$1501,10)</f>
        <v>7</v>
      </c>
      <c r="Q44">
        <f>COUNTIFS($B$2:$B$1501,N44, $C$2:$C$1501, 0, $D$2:$D$1501, 0,$E$2:$E$1501,10)</f>
        <v>3</v>
      </c>
      <c r="R44">
        <f>COUNTIFS($B$2:$B$1501,N44, $C$2:$C$1501, 1, $D$2:$D$1501, 0,$E$2:$E$1501,10)</f>
        <v>1</v>
      </c>
      <c r="S44" s="5">
        <f>O44/(R44+O44)</f>
        <v>0.9</v>
      </c>
      <c r="T44" s="5">
        <f>Q44/(Q44+P44)</f>
        <v>0.3</v>
      </c>
    </row>
    <row r="45" spans="1:20" x14ac:dyDescent="0.2">
      <c r="A45" t="s">
        <v>63</v>
      </c>
      <c r="B45" t="s">
        <v>53</v>
      </c>
      <c r="C45">
        <v>1</v>
      </c>
      <c r="D45">
        <v>1</v>
      </c>
      <c r="E45">
        <v>4</v>
      </c>
      <c r="N45" t="str">
        <v>BabyCrawling</v>
      </c>
      <c r="O45">
        <f t="shared" ref="O45:O57" si="16">COUNTIFS($B$2:$B$1501,N45, $C$2:$C$1501, 1, $D$2:$D$1501, 1,$E$2:$E$1501,10)</f>
        <v>6</v>
      </c>
      <c r="P45">
        <f t="shared" ref="P45:P57" si="17">COUNTIFS($B$2:$B$1501,N45, $C$2:$C$1501, 0, $D$2:$D$1501, 1,$E$2:$E$1501,10)</f>
        <v>4</v>
      </c>
      <c r="Q45">
        <f t="shared" ref="Q45:Q57" si="18">COUNTIFS($B$2:$B$1501,N45, $C$2:$C$1501, 0, $D$2:$D$1501, 0,$E$2:$E$1501,10)</f>
        <v>6</v>
      </c>
      <c r="R45">
        <f t="shared" ref="R45:R57" si="19">COUNTIFS($B$2:$B$1501,N45, $C$2:$C$1501, 1, $D$2:$D$1501, 0,$E$2:$E$1501,10)</f>
        <v>4</v>
      </c>
      <c r="S45" s="5">
        <f t="shared" ref="S45:S49" si="20">O45/(R45+O45)</f>
        <v>0.6</v>
      </c>
      <c r="T45" s="5">
        <f t="shared" ref="T45:T49" si="21">Q45/(Q45+P45)</f>
        <v>0.6</v>
      </c>
    </row>
    <row r="46" spans="1:20" x14ac:dyDescent="0.2">
      <c r="A46" t="s">
        <v>64</v>
      </c>
      <c r="B46" t="s">
        <v>26</v>
      </c>
      <c r="C46">
        <v>1</v>
      </c>
      <c r="D46">
        <v>0</v>
      </c>
      <c r="E46">
        <v>70</v>
      </c>
      <c r="H46" t="s">
        <v>1528</v>
      </c>
      <c r="I46">
        <f>I40/(I40+I41)</f>
        <v>0.67368421052631577</v>
      </c>
      <c r="N46" t="str">
        <v>HorseRiding</v>
      </c>
      <c r="O46">
        <f t="shared" si="16"/>
        <v>9</v>
      </c>
      <c r="P46">
        <f t="shared" si="17"/>
        <v>3</v>
      </c>
      <c r="Q46">
        <f t="shared" si="18"/>
        <v>7</v>
      </c>
      <c r="R46">
        <f t="shared" si="19"/>
        <v>1</v>
      </c>
      <c r="S46" s="5">
        <f t="shared" si="20"/>
        <v>0.9</v>
      </c>
      <c r="T46" s="5">
        <f t="shared" si="21"/>
        <v>0.7</v>
      </c>
    </row>
    <row r="47" spans="1:20" x14ac:dyDescent="0.2">
      <c r="A47" t="s">
        <v>65</v>
      </c>
      <c r="B47" t="s">
        <v>13</v>
      </c>
      <c r="C47">
        <v>1</v>
      </c>
      <c r="D47">
        <v>1</v>
      </c>
      <c r="E47">
        <v>4</v>
      </c>
      <c r="H47" t="s">
        <v>1529</v>
      </c>
      <c r="I47">
        <f>(I40/(I40+J40))</f>
        <v>0.42666666666666669</v>
      </c>
      <c r="N47" t="str">
        <v>PoleVault</v>
      </c>
      <c r="O47">
        <f t="shared" si="16"/>
        <v>7</v>
      </c>
      <c r="P47">
        <f t="shared" si="17"/>
        <v>5</v>
      </c>
      <c r="Q47">
        <f t="shared" si="18"/>
        <v>5</v>
      </c>
      <c r="R47">
        <f t="shared" si="19"/>
        <v>3</v>
      </c>
      <c r="S47" s="5">
        <f t="shared" si="20"/>
        <v>0.7</v>
      </c>
      <c r="T47" s="5">
        <f t="shared" si="21"/>
        <v>0.5</v>
      </c>
    </row>
    <row r="48" spans="1:20" x14ac:dyDescent="0.2">
      <c r="A48" t="s">
        <v>66</v>
      </c>
      <c r="B48" t="s">
        <v>37</v>
      </c>
      <c r="C48">
        <v>1</v>
      </c>
      <c r="D48">
        <v>1</v>
      </c>
      <c r="E48">
        <v>40</v>
      </c>
      <c r="H48" t="s">
        <v>1530</v>
      </c>
      <c r="I48">
        <f>2*(I46*I47/(I46+I47))</f>
        <v>0.52244897959183678</v>
      </c>
      <c r="N48" t="str">
        <v>TaiChi</v>
      </c>
      <c r="O48">
        <f t="shared" si="16"/>
        <v>8</v>
      </c>
      <c r="P48">
        <f t="shared" si="17"/>
        <v>6</v>
      </c>
      <c r="Q48">
        <f t="shared" si="18"/>
        <v>4</v>
      </c>
      <c r="R48">
        <f t="shared" si="19"/>
        <v>2</v>
      </c>
      <c r="S48" s="5">
        <f t="shared" si="20"/>
        <v>0.8</v>
      </c>
      <c r="T48" s="5">
        <f t="shared" si="21"/>
        <v>0.4</v>
      </c>
    </row>
    <row r="49" spans="1:20" x14ac:dyDescent="0.2">
      <c r="A49" t="s">
        <v>67</v>
      </c>
      <c r="B49" t="s">
        <v>15</v>
      </c>
      <c r="C49">
        <v>1</v>
      </c>
      <c r="D49">
        <v>1</v>
      </c>
      <c r="E49">
        <v>70</v>
      </c>
      <c r="N49" t="str">
        <v>BasketballDunking</v>
      </c>
      <c r="O49">
        <f t="shared" si="16"/>
        <v>9</v>
      </c>
      <c r="P49">
        <f t="shared" si="17"/>
        <v>6</v>
      </c>
      <c r="Q49">
        <f t="shared" si="18"/>
        <v>4</v>
      </c>
      <c r="R49">
        <f t="shared" si="19"/>
        <v>1</v>
      </c>
      <c r="S49" s="5">
        <f t="shared" si="20"/>
        <v>0.9</v>
      </c>
      <c r="T49" s="5">
        <f t="shared" si="21"/>
        <v>0.4</v>
      </c>
    </row>
    <row r="50" spans="1:20" x14ac:dyDescent="0.2">
      <c r="A50" t="s">
        <v>68</v>
      </c>
      <c r="B50" t="s">
        <v>11</v>
      </c>
      <c r="C50">
        <v>1</v>
      </c>
      <c r="D50">
        <v>0</v>
      </c>
      <c r="E50">
        <v>4</v>
      </c>
      <c r="H50" t="s">
        <v>1531</v>
      </c>
      <c r="I50">
        <f>J41/(J41+J40)</f>
        <v>0.58048780487804874</v>
      </c>
      <c r="N50" t="str">
        <v>Kayaking</v>
      </c>
      <c r="O50">
        <f t="shared" si="16"/>
        <v>6</v>
      </c>
      <c r="P50">
        <f t="shared" si="17"/>
        <v>5</v>
      </c>
      <c r="Q50">
        <f t="shared" si="18"/>
        <v>5</v>
      </c>
      <c r="R50">
        <f t="shared" si="19"/>
        <v>4</v>
      </c>
      <c r="S50" s="5">
        <f>O50/(R50+O50)</f>
        <v>0.6</v>
      </c>
      <c r="T50" s="5">
        <f>Q50/(Q50+P50)</f>
        <v>0.5</v>
      </c>
    </row>
    <row r="51" spans="1:20" x14ac:dyDescent="0.2">
      <c r="A51" t="s">
        <v>69</v>
      </c>
      <c r="B51" t="s">
        <v>6</v>
      </c>
      <c r="C51">
        <v>0</v>
      </c>
      <c r="D51">
        <v>1</v>
      </c>
      <c r="E51">
        <v>40</v>
      </c>
      <c r="H51" t="s">
        <v>1532</v>
      </c>
      <c r="I51">
        <f>J41/(J41+I41)</f>
        <v>0.79333333333333333</v>
      </c>
      <c r="N51" t="str">
        <v>Fencing</v>
      </c>
      <c r="O51">
        <f t="shared" si="16"/>
        <v>7</v>
      </c>
      <c r="P51">
        <f t="shared" si="17"/>
        <v>7</v>
      </c>
      <c r="Q51">
        <f t="shared" si="18"/>
        <v>3</v>
      </c>
      <c r="R51">
        <f t="shared" si="19"/>
        <v>3</v>
      </c>
      <c r="S51" s="5">
        <f t="shared" ref="S51:S57" si="22">O51/(R51+O51)</f>
        <v>0.7</v>
      </c>
      <c r="T51" s="5">
        <f t="shared" ref="T51:T57" si="23">Q51/(Q51+P51)</f>
        <v>0.3</v>
      </c>
    </row>
    <row r="52" spans="1:20" x14ac:dyDescent="0.2">
      <c r="A52" t="s">
        <v>70</v>
      </c>
      <c r="B52" t="s">
        <v>13</v>
      </c>
      <c r="C52">
        <v>1</v>
      </c>
      <c r="D52">
        <v>0</v>
      </c>
      <c r="E52">
        <v>4</v>
      </c>
      <c r="H52" t="s">
        <v>1533</v>
      </c>
      <c r="I52">
        <f>2*(I50*I51/(I50+I51))</f>
        <v>0.6704225352112676</v>
      </c>
      <c r="N52" t="str">
        <v>Surfing</v>
      </c>
      <c r="O52">
        <f t="shared" si="16"/>
        <v>10</v>
      </c>
      <c r="P52">
        <f t="shared" si="17"/>
        <v>7</v>
      </c>
      <c r="Q52">
        <f t="shared" si="18"/>
        <v>3</v>
      </c>
      <c r="R52">
        <f t="shared" si="19"/>
        <v>0</v>
      </c>
      <c r="S52" s="5">
        <f t="shared" si="22"/>
        <v>1</v>
      </c>
      <c r="T52" s="5">
        <f t="shared" si="23"/>
        <v>0.3</v>
      </c>
    </row>
    <row r="53" spans="1:20" x14ac:dyDescent="0.2">
      <c r="A53" t="s">
        <v>71</v>
      </c>
      <c r="B53" t="s">
        <v>8</v>
      </c>
      <c r="C53">
        <v>0</v>
      </c>
      <c r="D53">
        <v>1</v>
      </c>
      <c r="E53">
        <v>10</v>
      </c>
      <c r="N53" t="str">
        <v>DogWalking</v>
      </c>
      <c r="O53">
        <f t="shared" si="16"/>
        <v>8</v>
      </c>
      <c r="P53">
        <f t="shared" si="17"/>
        <v>6</v>
      </c>
      <c r="Q53">
        <f t="shared" si="18"/>
        <v>4</v>
      </c>
      <c r="R53">
        <f t="shared" si="19"/>
        <v>2</v>
      </c>
      <c r="S53" s="5">
        <f t="shared" si="22"/>
        <v>0.8</v>
      </c>
      <c r="T53" s="5">
        <f t="shared" si="23"/>
        <v>0.4</v>
      </c>
    </row>
    <row r="54" spans="1:20" x14ac:dyDescent="0.2">
      <c r="A54" t="s">
        <v>72</v>
      </c>
      <c r="B54" t="s">
        <v>15</v>
      </c>
      <c r="C54">
        <v>0</v>
      </c>
      <c r="D54">
        <v>1</v>
      </c>
      <c r="E54">
        <v>40</v>
      </c>
      <c r="H54" s="2">
        <v>20</v>
      </c>
      <c r="I54" s="2"/>
      <c r="J54" s="2"/>
      <c r="N54" t="str">
        <v>Diving</v>
      </c>
      <c r="O54">
        <f t="shared" si="16"/>
        <v>9</v>
      </c>
      <c r="P54">
        <f t="shared" si="17"/>
        <v>5</v>
      </c>
      <c r="Q54">
        <f t="shared" si="18"/>
        <v>5</v>
      </c>
      <c r="R54">
        <f t="shared" si="19"/>
        <v>1</v>
      </c>
      <c r="S54" s="5">
        <f t="shared" si="22"/>
        <v>0.9</v>
      </c>
      <c r="T54" s="5">
        <f t="shared" si="23"/>
        <v>0.5</v>
      </c>
    </row>
    <row r="55" spans="1:20" ht="21" x14ac:dyDescent="0.25">
      <c r="A55" t="s">
        <v>73</v>
      </c>
      <c r="B55" t="s">
        <v>11</v>
      </c>
      <c r="C55">
        <v>1</v>
      </c>
      <c r="D55">
        <v>0</v>
      </c>
      <c r="E55">
        <v>40</v>
      </c>
      <c r="H55" s="3" t="s">
        <v>1514</v>
      </c>
      <c r="I55" s="3"/>
      <c r="J55" s="3"/>
      <c r="N55" t="str">
        <v>Punching</v>
      </c>
      <c r="O55">
        <f t="shared" si="16"/>
        <v>6</v>
      </c>
      <c r="P55">
        <f t="shared" si="17"/>
        <v>5</v>
      </c>
      <c r="Q55">
        <f t="shared" si="18"/>
        <v>5</v>
      </c>
      <c r="R55">
        <f t="shared" si="19"/>
        <v>4</v>
      </c>
      <c r="S55" s="5">
        <f t="shared" si="22"/>
        <v>0.6</v>
      </c>
      <c r="T55" s="5">
        <f t="shared" si="23"/>
        <v>0.5</v>
      </c>
    </row>
    <row r="56" spans="1:20" x14ac:dyDescent="0.2">
      <c r="A56" t="s">
        <v>74</v>
      </c>
      <c r="B56" t="s">
        <v>28</v>
      </c>
      <c r="C56">
        <v>1</v>
      </c>
      <c r="D56">
        <v>1</v>
      </c>
      <c r="E56">
        <v>20</v>
      </c>
      <c r="I56" t="s">
        <v>1516</v>
      </c>
      <c r="J56" t="s">
        <v>1517</v>
      </c>
      <c r="N56" t="str">
        <v>MilitaryParade</v>
      </c>
      <c r="O56">
        <f t="shared" si="16"/>
        <v>10</v>
      </c>
      <c r="P56">
        <f t="shared" si="17"/>
        <v>7</v>
      </c>
      <c r="Q56">
        <f t="shared" si="18"/>
        <v>3</v>
      </c>
      <c r="R56">
        <f t="shared" si="19"/>
        <v>0</v>
      </c>
      <c r="S56" s="5">
        <f t="shared" si="22"/>
        <v>1</v>
      </c>
      <c r="T56" s="5">
        <f t="shared" si="23"/>
        <v>0.3</v>
      </c>
    </row>
    <row r="57" spans="1:20" x14ac:dyDescent="0.2">
      <c r="A57" t="s">
        <v>75</v>
      </c>
      <c r="B57" t="s">
        <v>26</v>
      </c>
      <c r="C57">
        <v>0</v>
      </c>
      <c r="D57">
        <v>1</v>
      </c>
      <c r="E57">
        <v>4</v>
      </c>
      <c r="H57" t="s">
        <v>1518</v>
      </c>
      <c r="I57">
        <f>COUNTIFS(C$2:C$1501, 0, D$2:D$1501, 0, E$2:E$1501, 20)</f>
        <v>65</v>
      </c>
      <c r="J57">
        <f>COUNTIFS(C$2:C$1501, 0, D$2:D$1501, 1,E$2:E$1501,20)</f>
        <v>85</v>
      </c>
      <c r="N57" t="str">
        <v>CuttingInKitchen</v>
      </c>
      <c r="O57">
        <f t="shared" si="16"/>
        <v>8</v>
      </c>
      <c r="P57">
        <f t="shared" si="17"/>
        <v>6</v>
      </c>
      <c r="Q57">
        <f t="shared" si="18"/>
        <v>4</v>
      </c>
      <c r="R57">
        <f t="shared" si="19"/>
        <v>2</v>
      </c>
      <c r="S57" s="5">
        <f t="shared" si="22"/>
        <v>0.8</v>
      </c>
      <c r="T57" s="5">
        <f t="shared" si="23"/>
        <v>0.4</v>
      </c>
    </row>
    <row r="58" spans="1:20" x14ac:dyDescent="0.2">
      <c r="A58" t="s">
        <v>76</v>
      </c>
      <c r="B58" t="s">
        <v>37</v>
      </c>
      <c r="C58">
        <v>0</v>
      </c>
      <c r="D58">
        <v>0</v>
      </c>
      <c r="E58">
        <v>70</v>
      </c>
      <c r="H58" t="s">
        <v>1525</v>
      </c>
      <c r="I58">
        <f>COUNTIFS(C$2:C$1501, 1, D$2:D$1501, 0,E$2:E$1501,20)</f>
        <v>36</v>
      </c>
      <c r="J58">
        <f>COUNTIFS(C$2:C$1501, 1, D$2:D$1501, 1,E$2:E$1501,20)</f>
        <v>114</v>
      </c>
    </row>
    <row r="59" spans="1:20" x14ac:dyDescent="0.2">
      <c r="A59" t="s">
        <v>77</v>
      </c>
      <c r="B59" t="s">
        <v>8</v>
      </c>
      <c r="C59">
        <v>0</v>
      </c>
      <c r="D59">
        <v>1</v>
      </c>
      <c r="E59">
        <v>20</v>
      </c>
    </row>
    <row r="60" spans="1:20" x14ac:dyDescent="0.2">
      <c r="A60" t="s">
        <v>78</v>
      </c>
      <c r="B60" t="s">
        <v>17</v>
      </c>
      <c r="C60">
        <v>1</v>
      </c>
      <c r="D60">
        <v>1</v>
      </c>
      <c r="E60">
        <v>4</v>
      </c>
      <c r="H60" t="s">
        <v>1526</v>
      </c>
      <c r="I60">
        <f>SUM(I57:J58)</f>
        <v>300</v>
      </c>
      <c r="N60" s="2">
        <v>20</v>
      </c>
      <c r="O60" s="2"/>
      <c r="P60" s="2"/>
      <c r="Q60" s="2"/>
      <c r="R60" s="2"/>
      <c r="S60" s="2"/>
      <c r="T60" s="2"/>
    </row>
    <row r="61" spans="1:20" ht="21" x14ac:dyDescent="0.25">
      <c r="A61" t="s">
        <v>79</v>
      </c>
      <c r="B61" t="s">
        <v>11</v>
      </c>
      <c r="C61">
        <v>1</v>
      </c>
      <c r="D61">
        <v>1</v>
      </c>
      <c r="E61">
        <v>40</v>
      </c>
      <c r="H61" t="s">
        <v>1527</v>
      </c>
      <c r="I61" s="5">
        <f>(I57+J58)/I60</f>
        <v>0.59666666666666668</v>
      </c>
      <c r="O61" s="3" t="s">
        <v>1515</v>
      </c>
      <c r="P61" s="3"/>
    </row>
    <row r="62" spans="1:20" x14ac:dyDescent="0.2">
      <c r="A62" t="s">
        <v>80</v>
      </c>
      <c r="B62" t="s">
        <v>8</v>
      </c>
      <c r="C62">
        <v>1</v>
      </c>
      <c r="D62">
        <v>1</v>
      </c>
      <c r="E62">
        <v>10</v>
      </c>
    </row>
    <row r="63" spans="1:20" ht="19" x14ac:dyDescent="0.25">
      <c r="A63" t="s">
        <v>81</v>
      </c>
      <c r="B63" t="s">
        <v>17</v>
      </c>
      <c r="C63">
        <v>0</v>
      </c>
      <c r="D63">
        <v>1</v>
      </c>
      <c r="E63">
        <v>70</v>
      </c>
      <c r="H63" t="s">
        <v>1528</v>
      </c>
      <c r="I63">
        <f>I57/(I57+I58)</f>
        <v>0.64356435643564358</v>
      </c>
      <c r="N63" s="4" t="str" cm="1">
        <f t="array" ref="N63:N77">_xlfn.UNIQUE(B$2:B$1501)</f>
        <v>SalsaSpin</v>
      </c>
      <c r="O63" s="1" t="s">
        <v>1519</v>
      </c>
      <c r="P63" s="1" t="s">
        <v>1520</v>
      </c>
      <c r="Q63" s="1" t="s">
        <v>1521</v>
      </c>
      <c r="R63" s="1" t="s">
        <v>1522</v>
      </c>
      <c r="S63" s="1" t="s">
        <v>1523</v>
      </c>
      <c r="T63" s="1" t="s">
        <v>1524</v>
      </c>
    </row>
    <row r="64" spans="1:20" x14ac:dyDescent="0.2">
      <c r="A64" t="s">
        <v>82</v>
      </c>
      <c r="B64" t="s">
        <v>37</v>
      </c>
      <c r="C64">
        <v>0</v>
      </c>
      <c r="D64">
        <v>0</v>
      </c>
      <c r="E64">
        <v>10</v>
      </c>
      <c r="H64" t="s">
        <v>1529</v>
      </c>
      <c r="I64">
        <f>(I57/(I57+J57))</f>
        <v>0.43333333333333335</v>
      </c>
      <c r="N64" t="str">
        <v>ThrowDiscuss</v>
      </c>
      <c r="O64">
        <f>COUNTIFS($B$2:$B$1501,N64, $C$2:$C$1501, 1, $D$2:$D$1501, 1,$E$2:$E$1501,20)</f>
        <v>8</v>
      </c>
      <c r="P64">
        <f>COUNTIFS($B$2:$B$1501,N64, $C$2:$C$1501, 0, $D$2:$D$1501, 1,$E$2:$E$1501,20)</f>
        <v>6</v>
      </c>
      <c r="Q64">
        <f>COUNTIFS($B$2:$B$1501,N64, $C$2:$C$1501, 0, $D$2:$D$1501, 0,$E$2:$E$1501,20)</f>
        <v>4</v>
      </c>
      <c r="R64">
        <f>COUNTIFS($B$2:$B$1501,N64, $C$2:$C$1501, 1, $D$2:$D$1501, 0,$E$2:$E$1501,20)</f>
        <v>2</v>
      </c>
      <c r="S64" s="5">
        <f>O64/(R64+O64)</f>
        <v>0.8</v>
      </c>
      <c r="T64" s="5">
        <f>Q64/(Q64+P64)</f>
        <v>0.4</v>
      </c>
    </row>
    <row r="65" spans="1:20" x14ac:dyDescent="0.2">
      <c r="A65" t="s">
        <v>83</v>
      </c>
      <c r="B65" t="s">
        <v>61</v>
      </c>
      <c r="C65">
        <v>0</v>
      </c>
      <c r="D65">
        <v>0</v>
      </c>
      <c r="E65">
        <v>70</v>
      </c>
      <c r="H65" t="s">
        <v>1530</v>
      </c>
      <c r="I65">
        <f>2*(I63*I64/(I63+I64))</f>
        <v>0.51792828685258974</v>
      </c>
      <c r="N65" t="str">
        <v>BabyCrawling</v>
      </c>
      <c r="O65">
        <f t="shared" ref="O65:O77" si="24">COUNTIFS($B$2:$B$1501,N65, $C$2:$C$1501, 1, $D$2:$D$1501, 1,$E$2:$E$1501,20)</f>
        <v>9</v>
      </c>
      <c r="P65">
        <f t="shared" ref="P65:P77" si="25">COUNTIFS($B$2:$B$1501,N65, $C$2:$C$1501, 0, $D$2:$D$1501, 1,$E$2:$E$1501,20)</f>
        <v>6</v>
      </c>
      <c r="Q65">
        <f t="shared" ref="Q65:Q77" si="26">COUNTIFS($B$2:$B$1501,N65, $C$2:$C$1501, 0, $D$2:$D$1501, 0,$E$2:$E$1501,20)</f>
        <v>4</v>
      </c>
      <c r="R65">
        <f t="shared" ref="R65:R77" si="27">COUNTIFS($B$2:$B$1501,N65, $C$2:$C$1501, 1, $D$2:$D$1501, 0,$E$2:$E$1501,20)</f>
        <v>1</v>
      </c>
      <c r="S65" s="5">
        <f t="shared" ref="S65:S69" si="28">O65/(R65+O65)</f>
        <v>0.9</v>
      </c>
      <c r="T65" s="5">
        <f t="shared" ref="T65:T69" si="29">Q65/(Q65+P65)</f>
        <v>0.4</v>
      </c>
    </row>
    <row r="66" spans="1:20" x14ac:dyDescent="0.2">
      <c r="A66" t="s">
        <v>84</v>
      </c>
      <c r="B66" t="s">
        <v>28</v>
      </c>
      <c r="C66">
        <v>0</v>
      </c>
      <c r="D66">
        <v>1</v>
      </c>
      <c r="E66">
        <v>10</v>
      </c>
      <c r="N66" t="str">
        <v>HorseRiding</v>
      </c>
      <c r="O66">
        <f t="shared" si="24"/>
        <v>6</v>
      </c>
      <c r="P66">
        <f t="shared" si="25"/>
        <v>5</v>
      </c>
      <c r="Q66">
        <f t="shared" si="26"/>
        <v>5</v>
      </c>
      <c r="R66">
        <f t="shared" si="27"/>
        <v>4</v>
      </c>
      <c r="S66" s="5">
        <f t="shared" si="28"/>
        <v>0.6</v>
      </c>
      <c r="T66" s="5">
        <f t="shared" si="29"/>
        <v>0.5</v>
      </c>
    </row>
    <row r="67" spans="1:20" x14ac:dyDescent="0.2">
      <c r="A67" t="s">
        <v>85</v>
      </c>
      <c r="B67" t="s">
        <v>61</v>
      </c>
      <c r="C67">
        <v>0</v>
      </c>
      <c r="D67">
        <v>1</v>
      </c>
      <c r="E67">
        <v>10</v>
      </c>
      <c r="H67" t="s">
        <v>1531</v>
      </c>
      <c r="I67">
        <f>J58/(J58+J57)</f>
        <v>0.57286432160804024</v>
      </c>
      <c r="N67" t="str">
        <v>PoleVault</v>
      </c>
      <c r="O67">
        <f t="shared" si="24"/>
        <v>7</v>
      </c>
      <c r="P67">
        <f t="shared" si="25"/>
        <v>6</v>
      </c>
      <c r="Q67">
        <f t="shared" si="26"/>
        <v>4</v>
      </c>
      <c r="R67">
        <f t="shared" si="27"/>
        <v>3</v>
      </c>
      <c r="S67" s="5">
        <f t="shared" si="28"/>
        <v>0.7</v>
      </c>
      <c r="T67" s="5">
        <f t="shared" si="29"/>
        <v>0.4</v>
      </c>
    </row>
    <row r="68" spans="1:20" x14ac:dyDescent="0.2">
      <c r="A68" t="s">
        <v>86</v>
      </c>
      <c r="B68" t="s">
        <v>17</v>
      </c>
      <c r="C68">
        <v>0</v>
      </c>
      <c r="D68">
        <v>0</v>
      </c>
      <c r="E68">
        <v>10</v>
      </c>
      <c r="H68" t="s">
        <v>1532</v>
      </c>
      <c r="I68">
        <f>J58/(J58+I58)</f>
        <v>0.76</v>
      </c>
      <c r="N68" t="str">
        <v>TaiChi</v>
      </c>
      <c r="O68">
        <f t="shared" si="24"/>
        <v>9</v>
      </c>
      <c r="P68">
        <f t="shared" si="25"/>
        <v>7</v>
      </c>
      <c r="Q68">
        <f t="shared" si="26"/>
        <v>3</v>
      </c>
      <c r="R68">
        <f t="shared" si="27"/>
        <v>1</v>
      </c>
      <c r="S68" s="5">
        <f t="shared" si="28"/>
        <v>0.9</v>
      </c>
      <c r="T68" s="5">
        <f t="shared" si="29"/>
        <v>0.3</v>
      </c>
    </row>
    <row r="69" spans="1:20" x14ac:dyDescent="0.2">
      <c r="A69" t="s">
        <v>87</v>
      </c>
      <c r="B69" t="s">
        <v>19</v>
      </c>
      <c r="C69">
        <v>0</v>
      </c>
      <c r="D69">
        <v>0</v>
      </c>
      <c r="E69">
        <v>10</v>
      </c>
      <c r="H69" t="s">
        <v>1533</v>
      </c>
      <c r="I69">
        <f>2*(I67*I68/(I67+I68))</f>
        <v>0.65329512893982811</v>
      </c>
      <c r="N69" t="str">
        <v>BasketballDunking</v>
      </c>
      <c r="O69">
        <f t="shared" si="24"/>
        <v>7</v>
      </c>
      <c r="P69">
        <f t="shared" si="25"/>
        <v>3</v>
      </c>
      <c r="Q69">
        <f t="shared" si="26"/>
        <v>7</v>
      </c>
      <c r="R69">
        <f t="shared" si="27"/>
        <v>3</v>
      </c>
      <c r="S69" s="5">
        <f t="shared" si="28"/>
        <v>0.7</v>
      </c>
      <c r="T69" s="5">
        <f t="shared" si="29"/>
        <v>0.7</v>
      </c>
    </row>
    <row r="70" spans="1:20" x14ac:dyDescent="0.2">
      <c r="A70" t="s">
        <v>88</v>
      </c>
      <c r="B70" t="s">
        <v>23</v>
      </c>
      <c r="C70">
        <v>1</v>
      </c>
      <c r="D70">
        <v>1</v>
      </c>
      <c r="E70">
        <v>70</v>
      </c>
      <c r="N70" t="str">
        <v>Kayaking</v>
      </c>
      <c r="O70">
        <f t="shared" si="24"/>
        <v>6</v>
      </c>
      <c r="P70">
        <f t="shared" si="25"/>
        <v>5</v>
      </c>
      <c r="Q70">
        <f t="shared" si="26"/>
        <v>5</v>
      </c>
      <c r="R70">
        <f t="shared" si="27"/>
        <v>4</v>
      </c>
      <c r="S70" s="5">
        <f>O70/(R70+O70)</f>
        <v>0.6</v>
      </c>
      <c r="T70" s="5">
        <f>Q70/(Q70+P70)</f>
        <v>0.5</v>
      </c>
    </row>
    <row r="71" spans="1:20" x14ac:dyDescent="0.2">
      <c r="A71" t="s">
        <v>89</v>
      </c>
      <c r="B71" t="s">
        <v>37</v>
      </c>
      <c r="C71">
        <v>1</v>
      </c>
      <c r="D71">
        <v>1</v>
      </c>
      <c r="E71">
        <v>70</v>
      </c>
      <c r="H71" s="2">
        <v>40</v>
      </c>
      <c r="I71" s="2"/>
      <c r="J71" s="2"/>
      <c r="N71" t="str">
        <v>Fencing</v>
      </c>
      <c r="O71">
        <f t="shared" si="24"/>
        <v>9</v>
      </c>
      <c r="P71">
        <f t="shared" si="25"/>
        <v>4</v>
      </c>
      <c r="Q71">
        <f t="shared" si="26"/>
        <v>6</v>
      </c>
      <c r="R71">
        <f t="shared" si="27"/>
        <v>1</v>
      </c>
      <c r="S71" s="5">
        <f t="shared" ref="S71:S77" si="30">O71/(R71+O71)</f>
        <v>0.9</v>
      </c>
      <c r="T71" s="5">
        <f t="shared" ref="T71:T77" si="31">Q71/(Q71+P71)</f>
        <v>0.6</v>
      </c>
    </row>
    <row r="72" spans="1:20" ht="21" x14ac:dyDescent="0.25">
      <c r="A72" t="s">
        <v>90</v>
      </c>
      <c r="B72" t="s">
        <v>61</v>
      </c>
      <c r="C72">
        <v>1</v>
      </c>
      <c r="D72">
        <v>1</v>
      </c>
      <c r="E72">
        <v>4</v>
      </c>
      <c r="H72" s="3" t="s">
        <v>1514</v>
      </c>
      <c r="I72" s="3"/>
      <c r="J72" s="3"/>
      <c r="N72" t="str">
        <v>Surfing</v>
      </c>
      <c r="O72">
        <f t="shared" si="24"/>
        <v>8</v>
      </c>
      <c r="P72">
        <f t="shared" si="25"/>
        <v>6</v>
      </c>
      <c r="Q72">
        <f t="shared" si="26"/>
        <v>4</v>
      </c>
      <c r="R72">
        <f t="shared" si="27"/>
        <v>2</v>
      </c>
      <c r="S72" s="5">
        <f t="shared" si="30"/>
        <v>0.8</v>
      </c>
      <c r="T72" s="5">
        <f t="shared" si="31"/>
        <v>0.4</v>
      </c>
    </row>
    <row r="73" spans="1:20" x14ac:dyDescent="0.2">
      <c r="A73" t="s">
        <v>91</v>
      </c>
      <c r="B73" t="s">
        <v>46</v>
      </c>
      <c r="C73">
        <v>0</v>
      </c>
      <c r="D73">
        <v>0</v>
      </c>
      <c r="E73">
        <v>10</v>
      </c>
      <c r="I73" t="s">
        <v>1516</v>
      </c>
      <c r="J73" t="s">
        <v>1517</v>
      </c>
      <c r="N73" t="str">
        <v>DogWalking</v>
      </c>
      <c r="O73">
        <f t="shared" si="24"/>
        <v>8</v>
      </c>
      <c r="P73">
        <f t="shared" si="25"/>
        <v>4</v>
      </c>
      <c r="Q73">
        <f t="shared" si="26"/>
        <v>6</v>
      </c>
      <c r="R73">
        <f t="shared" si="27"/>
        <v>2</v>
      </c>
      <c r="S73" s="5">
        <f t="shared" si="30"/>
        <v>0.8</v>
      </c>
      <c r="T73" s="5">
        <f t="shared" si="31"/>
        <v>0.6</v>
      </c>
    </row>
    <row r="74" spans="1:20" x14ac:dyDescent="0.2">
      <c r="A74" t="s">
        <v>92</v>
      </c>
      <c r="B74" t="s">
        <v>11</v>
      </c>
      <c r="C74">
        <v>1</v>
      </c>
      <c r="D74">
        <v>1</v>
      </c>
      <c r="E74">
        <v>20</v>
      </c>
      <c r="H74" t="s">
        <v>1518</v>
      </c>
      <c r="I74">
        <f>COUNTIFS(C$2:C$1501, 0, D$2:D$1501, 0, E$2:E$1501, 40)</f>
        <v>62</v>
      </c>
      <c r="J74">
        <f>COUNTIFS(C$2:C$1501, 0, D$2:D$1501, 1,E$2:E$1501,40)</f>
        <v>88</v>
      </c>
      <c r="N74" t="str">
        <v>Diving</v>
      </c>
      <c r="O74">
        <f t="shared" si="24"/>
        <v>7</v>
      </c>
      <c r="P74">
        <f t="shared" si="25"/>
        <v>6</v>
      </c>
      <c r="Q74">
        <f t="shared" si="26"/>
        <v>4</v>
      </c>
      <c r="R74">
        <f t="shared" si="27"/>
        <v>3</v>
      </c>
      <c r="S74" s="5">
        <f t="shared" si="30"/>
        <v>0.7</v>
      </c>
      <c r="T74" s="5">
        <f t="shared" si="31"/>
        <v>0.4</v>
      </c>
    </row>
    <row r="75" spans="1:20" x14ac:dyDescent="0.2">
      <c r="A75" t="s">
        <v>93</v>
      </c>
      <c r="B75" t="s">
        <v>11</v>
      </c>
      <c r="C75">
        <v>0</v>
      </c>
      <c r="D75">
        <v>1</v>
      </c>
      <c r="E75">
        <v>10</v>
      </c>
      <c r="H75" t="s">
        <v>1525</v>
      </c>
      <c r="I75">
        <f>COUNTIFS(C$2:C$1501, 1, D$2:D$1501, 0,E$2:E$1501,40)</f>
        <v>39</v>
      </c>
      <c r="J75">
        <f>COUNTIFS(C$2:C$1501, 1, D$2:D$1501, 1,E$2:E$1501,40)</f>
        <v>111</v>
      </c>
      <c r="N75" t="str">
        <v>Punching</v>
      </c>
      <c r="O75">
        <f t="shared" si="24"/>
        <v>7</v>
      </c>
      <c r="P75">
        <f t="shared" si="25"/>
        <v>6</v>
      </c>
      <c r="Q75">
        <f t="shared" si="26"/>
        <v>4</v>
      </c>
      <c r="R75">
        <f t="shared" si="27"/>
        <v>3</v>
      </c>
      <c r="S75" s="5">
        <f t="shared" si="30"/>
        <v>0.7</v>
      </c>
      <c r="T75" s="5">
        <f t="shared" si="31"/>
        <v>0.4</v>
      </c>
    </row>
    <row r="76" spans="1:20" x14ac:dyDescent="0.2">
      <c r="A76" t="s">
        <v>94</v>
      </c>
      <c r="B76" t="s">
        <v>13</v>
      </c>
      <c r="C76">
        <v>1</v>
      </c>
      <c r="D76">
        <v>1</v>
      </c>
      <c r="E76">
        <v>70</v>
      </c>
      <c r="N76" t="str">
        <v>MilitaryParade</v>
      </c>
      <c r="O76">
        <f t="shared" si="24"/>
        <v>8</v>
      </c>
      <c r="P76">
        <f t="shared" si="25"/>
        <v>5</v>
      </c>
      <c r="Q76">
        <f t="shared" si="26"/>
        <v>5</v>
      </c>
      <c r="R76">
        <f t="shared" si="27"/>
        <v>2</v>
      </c>
      <c r="S76" s="5">
        <f t="shared" si="30"/>
        <v>0.8</v>
      </c>
      <c r="T76" s="5">
        <f t="shared" si="31"/>
        <v>0.5</v>
      </c>
    </row>
    <row r="77" spans="1:20" x14ac:dyDescent="0.2">
      <c r="A77" t="s">
        <v>95</v>
      </c>
      <c r="B77" t="s">
        <v>53</v>
      </c>
      <c r="C77">
        <v>1</v>
      </c>
      <c r="D77">
        <v>1</v>
      </c>
      <c r="E77">
        <v>40</v>
      </c>
      <c r="H77" t="s">
        <v>1526</v>
      </c>
      <c r="I77">
        <f>SUM(I74:J75)</f>
        <v>300</v>
      </c>
      <c r="N77" t="str">
        <v>CuttingInKitchen</v>
      </c>
      <c r="O77">
        <f t="shared" si="24"/>
        <v>7</v>
      </c>
      <c r="P77">
        <f t="shared" si="25"/>
        <v>9</v>
      </c>
      <c r="Q77">
        <f t="shared" si="26"/>
        <v>1</v>
      </c>
      <c r="R77">
        <f t="shared" si="27"/>
        <v>3</v>
      </c>
      <c r="S77" s="5">
        <f t="shared" si="30"/>
        <v>0.7</v>
      </c>
      <c r="T77" s="5">
        <f t="shared" si="31"/>
        <v>0.1</v>
      </c>
    </row>
    <row r="78" spans="1:20" x14ac:dyDescent="0.2">
      <c r="A78" t="s">
        <v>96</v>
      </c>
      <c r="B78" t="s">
        <v>53</v>
      </c>
      <c r="C78">
        <v>1</v>
      </c>
      <c r="D78">
        <v>1</v>
      </c>
      <c r="E78">
        <v>70</v>
      </c>
      <c r="H78" t="s">
        <v>1527</v>
      </c>
      <c r="I78" s="5">
        <f>(I74+J75)/I77</f>
        <v>0.57666666666666666</v>
      </c>
    </row>
    <row r="79" spans="1:20" x14ac:dyDescent="0.2">
      <c r="A79" t="s">
        <v>97</v>
      </c>
      <c r="B79" t="s">
        <v>61</v>
      </c>
      <c r="C79">
        <v>1</v>
      </c>
      <c r="D79">
        <v>1</v>
      </c>
      <c r="E79">
        <v>10</v>
      </c>
    </row>
    <row r="80" spans="1:20" x14ac:dyDescent="0.2">
      <c r="A80" t="s">
        <v>98</v>
      </c>
      <c r="B80" t="s">
        <v>53</v>
      </c>
      <c r="C80">
        <v>0</v>
      </c>
      <c r="D80">
        <v>0</v>
      </c>
      <c r="E80">
        <v>20</v>
      </c>
      <c r="H80" t="s">
        <v>1528</v>
      </c>
      <c r="I80">
        <f>I74/(I74+I75)</f>
        <v>0.61386138613861385</v>
      </c>
      <c r="N80" s="2">
        <v>40</v>
      </c>
      <c r="O80" s="2"/>
      <c r="P80" s="2"/>
      <c r="Q80" s="2"/>
      <c r="R80" s="2"/>
      <c r="S80" s="2"/>
      <c r="T80" s="2"/>
    </row>
    <row r="81" spans="1:20" ht="21" x14ac:dyDescent="0.25">
      <c r="A81" t="s">
        <v>99</v>
      </c>
      <c r="B81" t="s">
        <v>8</v>
      </c>
      <c r="C81">
        <v>0</v>
      </c>
      <c r="D81">
        <v>1</v>
      </c>
      <c r="E81">
        <v>40</v>
      </c>
      <c r="H81" t="s">
        <v>1529</v>
      </c>
      <c r="I81">
        <f>(I74/(I74+J74))</f>
        <v>0.41333333333333333</v>
      </c>
      <c r="O81" s="3" t="s">
        <v>1515</v>
      </c>
      <c r="P81" s="3"/>
    </row>
    <row r="82" spans="1:20" x14ac:dyDescent="0.2">
      <c r="A82" t="s">
        <v>100</v>
      </c>
      <c r="B82" t="s">
        <v>17</v>
      </c>
      <c r="C82">
        <v>0</v>
      </c>
      <c r="D82">
        <v>1</v>
      </c>
      <c r="E82">
        <v>40</v>
      </c>
      <c r="H82" t="s">
        <v>1530</v>
      </c>
      <c r="I82">
        <f>2*(I80*I81/(I80+I81))</f>
        <v>0.49402390438247024</v>
      </c>
    </row>
    <row r="83" spans="1:20" ht="19" x14ac:dyDescent="0.25">
      <c r="A83" t="s">
        <v>101</v>
      </c>
      <c r="B83" t="s">
        <v>23</v>
      </c>
      <c r="C83">
        <v>1</v>
      </c>
      <c r="D83">
        <v>1</v>
      </c>
      <c r="E83">
        <v>70</v>
      </c>
      <c r="N83" s="4" t="str" cm="1">
        <f t="array" ref="N83:N97">_xlfn.UNIQUE(B$2:B$1501)</f>
        <v>SalsaSpin</v>
      </c>
      <c r="O83" s="1" t="s">
        <v>1519</v>
      </c>
      <c r="P83" s="1" t="s">
        <v>1520</v>
      </c>
      <c r="Q83" s="1" t="s">
        <v>1521</v>
      </c>
      <c r="R83" s="1" t="s">
        <v>1522</v>
      </c>
      <c r="S83" s="1" t="s">
        <v>1523</v>
      </c>
      <c r="T83" s="1" t="s">
        <v>1524</v>
      </c>
    </row>
    <row r="84" spans="1:20" x14ac:dyDescent="0.2">
      <c r="A84" t="s">
        <v>102</v>
      </c>
      <c r="B84" t="s">
        <v>37</v>
      </c>
      <c r="C84">
        <v>0</v>
      </c>
      <c r="D84">
        <v>1</v>
      </c>
      <c r="E84">
        <v>4</v>
      </c>
      <c r="H84" t="s">
        <v>1531</v>
      </c>
      <c r="I84">
        <f>J75/(J75+J74)</f>
        <v>0.55778894472361806</v>
      </c>
      <c r="N84" t="str">
        <v>ThrowDiscuss</v>
      </c>
      <c r="O84">
        <f>COUNTIFS($B$2:$B$1501,N84, $C$2:$C$1501, 1, $D$2:$D$1501, 1,$E$2:$E$1501,40)</f>
        <v>8</v>
      </c>
      <c r="P84">
        <f>COUNTIFS($B$2:$B$1501,N84, $C$2:$C$1501, 0, $D$2:$D$1501, 1,$E$2:$E$1501,40)</f>
        <v>4</v>
      </c>
      <c r="Q84">
        <f>COUNTIFS($B$2:$B$1501,N84, $C$2:$C$1501, 0, $D$2:$D$1501, 0,$E$2:$E$1501,40)</f>
        <v>6</v>
      </c>
      <c r="R84">
        <f>COUNTIFS($B$2:$B$1501,N84, $C$2:$C$1501, 1, $D$2:$D$1501, 0,$E$2:$E$1501,40)</f>
        <v>2</v>
      </c>
      <c r="S84" s="5">
        <f>O84/(R84+O84)</f>
        <v>0.8</v>
      </c>
      <c r="T84" s="5">
        <f>Q84/(Q84+P84)</f>
        <v>0.6</v>
      </c>
    </row>
    <row r="85" spans="1:20" x14ac:dyDescent="0.2">
      <c r="A85" t="s">
        <v>103</v>
      </c>
      <c r="B85" t="s">
        <v>61</v>
      </c>
      <c r="C85">
        <v>0</v>
      </c>
      <c r="D85">
        <v>1</v>
      </c>
      <c r="E85">
        <v>70</v>
      </c>
      <c r="H85" t="s">
        <v>1532</v>
      </c>
      <c r="I85">
        <f>J75/(J75+I75)</f>
        <v>0.74</v>
      </c>
      <c r="N85" t="str">
        <v>BabyCrawling</v>
      </c>
      <c r="O85">
        <f t="shared" ref="O85:O97" si="32">COUNTIFS($B$2:$B$1501,N85, $C$2:$C$1501, 1, $D$2:$D$1501, 1,$E$2:$E$1501,40)</f>
        <v>7</v>
      </c>
      <c r="P85">
        <f t="shared" ref="P85:P97" si="33">COUNTIFS($B$2:$B$1501,N85, $C$2:$C$1501, 0, $D$2:$D$1501, 1,$E$2:$E$1501,40)</f>
        <v>5</v>
      </c>
      <c r="Q85">
        <f t="shared" ref="Q85:Q97" si="34">COUNTIFS($B$2:$B$1501,N85, $C$2:$C$1501, 0, $D$2:$D$1501, 0,$E$2:$E$1501,40)</f>
        <v>5</v>
      </c>
      <c r="R85">
        <f t="shared" ref="R85:R97" si="35">COUNTIFS($B$2:$B$1501,N85, $C$2:$C$1501, 1, $D$2:$D$1501, 0,$E$2:$E$1501,40)</f>
        <v>3</v>
      </c>
      <c r="S85" s="5">
        <f t="shared" ref="S85:S89" si="36">O85/(R85+O85)</f>
        <v>0.7</v>
      </c>
      <c r="T85" s="5">
        <f t="shared" ref="T85:T89" si="37">Q85/(Q85+P85)</f>
        <v>0.5</v>
      </c>
    </row>
    <row r="86" spans="1:20" x14ac:dyDescent="0.2">
      <c r="A86" t="s">
        <v>104</v>
      </c>
      <c r="B86" t="s">
        <v>61</v>
      </c>
      <c r="C86">
        <v>0</v>
      </c>
      <c r="D86">
        <v>1</v>
      </c>
      <c r="E86">
        <v>4</v>
      </c>
      <c r="H86" t="s">
        <v>1533</v>
      </c>
      <c r="I86">
        <f>2*(I84*I85/(I84+I85))</f>
        <v>0.63610315186246413</v>
      </c>
      <c r="N86" t="str">
        <v>HorseRiding</v>
      </c>
      <c r="O86">
        <f t="shared" si="32"/>
        <v>10</v>
      </c>
      <c r="P86">
        <f t="shared" si="33"/>
        <v>5</v>
      </c>
      <c r="Q86">
        <f t="shared" si="34"/>
        <v>5</v>
      </c>
      <c r="R86">
        <f t="shared" si="35"/>
        <v>0</v>
      </c>
      <c r="S86" s="5">
        <f t="shared" si="36"/>
        <v>1</v>
      </c>
      <c r="T86" s="5">
        <f t="shared" si="37"/>
        <v>0.5</v>
      </c>
    </row>
    <row r="87" spans="1:20" x14ac:dyDescent="0.2">
      <c r="A87" t="s">
        <v>105</v>
      </c>
      <c r="B87" t="s">
        <v>37</v>
      </c>
      <c r="C87">
        <v>0</v>
      </c>
      <c r="D87">
        <v>1</v>
      </c>
      <c r="E87">
        <v>4</v>
      </c>
      <c r="N87" t="str">
        <v>PoleVault</v>
      </c>
      <c r="O87">
        <f t="shared" si="32"/>
        <v>8</v>
      </c>
      <c r="P87">
        <f t="shared" si="33"/>
        <v>4</v>
      </c>
      <c r="Q87">
        <f t="shared" si="34"/>
        <v>6</v>
      </c>
      <c r="R87">
        <f t="shared" si="35"/>
        <v>2</v>
      </c>
      <c r="S87" s="5">
        <f t="shared" si="36"/>
        <v>0.8</v>
      </c>
      <c r="T87" s="5">
        <f t="shared" si="37"/>
        <v>0.6</v>
      </c>
    </row>
    <row r="88" spans="1:20" x14ac:dyDescent="0.2">
      <c r="A88" t="s">
        <v>106</v>
      </c>
      <c r="B88" t="s">
        <v>6</v>
      </c>
      <c r="C88">
        <v>0</v>
      </c>
      <c r="D88">
        <v>0</v>
      </c>
      <c r="E88">
        <v>10</v>
      </c>
      <c r="H88" s="2">
        <v>70</v>
      </c>
      <c r="I88" s="2"/>
      <c r="J88" s="2"/>
      <c r="N88" t="str">
        <v>TaiChi</v>
      </c>
      <c r="O88">
        <f t="shared" si="32"/>
        <v>5</v>
      </c>
      <c r="P88">
        <f t="shared" si="33"/>
        <v>7</v>
      </c>
      <c r="Q88">
        <f t="shared" si="34"/>
        <v>3</v>
      </c>
      <c r="R88">
        <f t="shared" si="35"/>
        <v>5</v>
      </c>
      <c r="S88" s="5">
        <f t="shared" si="36"/>
        <v>0.5</v>
      </c>
      <c r="T88" s="5">
        <f t="shared" si="37"/>
        <v>0.3</v>
      </c>
    </row>
    <row r="89" spans="1:20" ht="21" x14ac:dyDescent="0.25">
      <c r="A89" t="s">
        <v>107</v>
      </c>
      <c r="B89" t="s">
        <v>8</v>
      </c>
      <c r="C89">
        <v>0</v>
      </c>
      <c r="D89">
        <v>0</v>
      </c>
      <c r="E89">
        <v>70</v>
      </c>
      <c r="H89" s="3" t="s">
        <v>1514</v>
      </c>
      <c r="I89" s="3"/>
      <c r="J89" s="3"/>
      <c r="N89" t="str">
        <v>BasketballDunking</v>
      </c>
      <c r="O89">
        <f t="shared" si="32"/>
        <v>8</v>
      </c>
      <c r="P89">
        <f t="shared" si="33"/>
        <v>6</v>
      </c>
      <c r="Q89">
        <f t="shared" si="34"/>
        <v>4</v>
      </c>
      <c r="R89">
        <f t="shared" si="35"/>
        <v>2</v>
      </c>
      <c r="S89" s="5">
        <f t="shared" si="36"/>
        <v>0.8</v>
      </c>
      <c r="T89" s="5">
        <f t="shared" si="37"/>
        <v>0.4</v>
      </c>
    </row>
    <row r="90" spans="1:20" x14ac:dyDescent="0.2">
      <c r="A90" t="s">
        <v>108</v>
      </c>
      <c r="B90" t="s">
        <v>6</v>
      </c>
      <c r="C90">
        <v>1</v>
      </c>
      <c r="D90">
        <v>1</v>
      </c>
      <c r="E90">
        <v>4</v>
      </c>
      <c r="I90" t="s">
        <v>1516</v>
      </c>
      <c r="J90" t="s">
        <v>1517</v>
      </c>
      <c r="N90" t="str">
        <v>Kayaking</v>
      </c>
      <c r="O90">
        <f t="shared" si="32"/>
        <v>4</v>
      </c>
      <c r="P90">
        <f t="shared" si="33"/>
        <v>7</v>
      </c>
      <c r="Q90">
        <f t="shared" si="34"/>
        <v>3</v>
      </c>
      <c r="R90">
        <f t="shared" si="35"/>
        <v>6</v>
      </c>
      <c r="S90" s="5">
        <f>O90/(R90+O90)</f>
        <v>0.4</v>
      </c>
      <c r="T90" s="5">
        <f>Q90/(Q90+P90)</f>
        <v>0.3</v>
      </c>
    </row>
    <row r="91" spans="1:20" x14ac:dyDescent="0.2">
      <c r="A91" t="s">
        <v>109</v>
      </c>
      <c r="B91" t="s">
        <v>15</v>
      </c>
      <c r="C91">
        <v>1</v>
      </c>
      <c r="D91">
        <v>0</v>
      </c>
      <c r="E91">
        <v>4</v>
      </c>
      <c r="H91" t="s">
        <v>1518</v>
      </c>
      <c r="I91">
        <f>COUNTIFS(C$2:C$1501, 0, D$2:D$1501, 0, E$2:E$1501, 70)</f>
        <v>69</v>
      </c>
      <c r="J91">
        <f>COUNTIFS(C$2:C$1501, 0, D$2:D$1501, 1,E$2:E$1501,70)</f>
        <v>81</v>
      </c>
      <c r="N91" t="str">
        <v>Fencing</v>
      </c>
      <c r="O91">
        <f t="shared" si="32"/>
        <v>7</v>
      </c>
      <c r="P91">
        <f t="shared" si="33"/>
        <v>7</v>
      </c>
      <c r="Q91">
        <f t="shared" si="34"/>
        <v>3</v>
      </c>
      <c r="R91">
        <f t="shared" si="35"/>
        <v>3</v>
      </c>
      <c r="S91" s="5">
        <f t="shared" ref="S91:S97" si="38">O91/(R91+O91)</f>
        <v>0.7</v>
      </c>
      <c r="T91" s="5">
        <f t="shared" ref="T91:T97" si="39">Q91/(Q91+P91)</f>
        <v>0.3</v>
      </c>
    </row>
    <row r="92" spans="1:20" x14ac:dyDescent="0.2">
      <c r="A92" t="s">
        <v>110</v>
      </c>
      <c r="B92" t="s">
        <v>17</v>
      </c>
      <c r="C92">
        <v>0</v>
      </c>
      <c r="D92">
        <v>1</v>
      </c>
      <c r="E92">
        <v>40</v>
      </c>
      <c r="H92" t="s">
        <v>1525</v>
      </c>
      <c r="I92">
        <f>COUNTIFS(C$2:C$1501, 1, D$2:D$1501, 0,E$2:E$1501,70)</f>
        <v>35</v>
      </c>
      <c r="J92">
        <f>COUNTIFS(C$2:C$1501, 1, D$2:D$1501, 1,E$2:E$1501,70)</f>
        <v>115</v>
      </c>
      <c r="N92" t="str">
        <v>Surfing</v>
      </c>
      <c r="O92">
        <f t="shared" si="32"/>
        <v>9</v>
      </c>
      <c r="P92">
        <f t="shared" si="33"/>
        <v>6</v>
      </c>
      <c r="Q92">
        <f t="shared" si="34"/>
        <v>4</v>
      </c>
      <c r="R92">
        <f t="shared" si="35"/>
        <v>1</v>
      </c>
      <c r="S92" s="5">
        <f t="shared" si="38"/>
        <v>0.9</v>
      </c>
      <c r="T92" s="5">
        <f t="shared" si="39"/>
        <v>0.4</v>
      </c>
    </row>
    <row r="93" spans="1:20" x14ac:dyDescent="0.2">
      <c r="A93" t="s">
        <v>111</v>
      </c>
      <c r="B93" t="s">
        <v>40</v>
      </c>
      <c r="C93">
        <v>0</v>
      </c>
      <c r="D93">
        <v>0</v>
      </c>
      <c r="E93">
        <v>20</v>
      </c>
      <c r="N93" t="str">
        <v>DogWalking</v>
      </c>
      <c r="O93">
        <f t="shared" si="32"/>
        <v>8</v>
      </c>
      <c r="P93">
        <f t="shared" si="33"/>
        <v>6</v>
      </c>
      <c r="Q93">
        <f t="shared" si="34"/>
        <v>4</v>
      </c>
      <c r="R93">
        <f t="shared" si="35"/>
        <v>2</v>
      </c>
      <c r="S93" s="5">
        <f t="shared" si="38"/>
        <v>0.8</v>
      </c>
      <c r="T93" s="5">
        <f t="shared" si="39"/>
        <v>0.4</v>
      </c>
    </row>
    <row r="94" spans="1:20" x14ac:dyDescent="0.2">
      <c r="A94" t="s">
        <v>112</v>
      </c>
      <c r="B94" t="s">
        <v>23</v>
      </c>
      <c r="C94">
        <v>1</v>
      </c>
      <c r="D94">
        <v>1</v>
      </c>
      <c r="E94">
        <v>20</v>
      </c>
      <c r="H94" t="s">
        <v>1526</v>
      </c>
      <c r="I94">
        <f>SUM(I91:J92)</f>
        <v>300</v>
      </c>
      <c r="N94" t="str">
        <v>Diving</v>
      </c>
      <c r="O94">
        <f t="shared" si="32"/>
        <v>8</v>
      </c>
      <c r="P94">
        <f t="shared" si="33"/>
        <v>5</v>
      </c>
      <c r="Q94">
        <f t="shared" si="34"/>
        <v>5</v>
      </c>
      <c r="R94">
        <f t="shared" si="35"/>
        <v>2</v>
      </c>
      <c r="S94" s="5">
        <f t="shared" si="38"/>
        <v>0.8</v>
      </c>
      <c r="T94" s="5">
        <f t="shared" si="39"/>
        <v>0.5</v>
      </c>
    </row>
    <row r="95" spans="1:20" x14ac:dyDescent="0.2">
      <c r="A95" t="s">
        <v>113</v>
      </c>
      <c r="B95" t="s">
        <v>23</v>
      </c>
      <c r="C95">
        <v>0</v>
      </c>
      <c r="D95">
        <v>1</v>
      </c>
      <c r="E95">
        <v>4</v>
      </c>
      <c r="H95" t="s">
        <v>1527</v>
      </c>
      <c r="I95" s="5">
        <f>(I91+J92)/I94</f>
        <v>0.61333333333333329</v>
      </c>
      <c r="N95" t="str">
        <v>Punching</v>
      </c>
      <c r="O95">
        <f t="shared" si="32"/>
        <v>7</v>
      </c>
      <c r="P95">
        <f t="shared" si="33"/>
        <v>8</v>
      </c>
      <c r="Q95">
        <f t="shared" si="34"/>
        <v>2</v>
      </c>
      <c r="R95">
        <f t="shared" si="35"/>
        <v>3</v>
      </c>
      <c r="S95" s="5">
        <f t="shared" si="38"/>
        <v>0.7</v>
      </c>
      <c r="T95" s="5">
        <f t="shared" si="39"/>
        <v>0.2</v>
      </c>
    </row>
    <row r="96" spans="1:20" x14ac:dyDescent="0.2">
      <c r="A96" t="s">
        <v>114</v>
      </c>
      <c r="B96" t="s">
        <v>6</v>
      </c>
      <c r="C96">
        <v>1</v>
      </c>
      <c r="D96">
        <v>0</v>
      </c>
      <c r="E96">
        <v>4</v>
      </c>
      <c r="N96" t="str">
        <v>MilitaryParade</v>
      </c>
      <c r="O96">
        <f t="shared" si="32"/>
        <v>8</v>
      </c>
      <c r="P96">
        <f t="shared" si="33"/>
        <v>6</v>
      </c>
      <c r="Q96">
        <f t="shared" si="34"/>
        <v>4</v>
      </c>
      <c r="R96">
        <f t="shared" si="35"/>
        <v>2</v>
      </c>
      <c r="S96" s="5">
        <f t="shared" si="38"/>
        <v>0.8</v>
      </c>
      <c r="T96" s="5">
        <f t="shared" si="39"/>
        <v>0.4</v>
      </c>
    </row>
    <row r="97" spans="1:20" x14ac:dyDescent="0.2">
      <c r="A97" t="s">
        <v>115</v>
      </c>
      <c r="B97" t="s">
        <v>37</v>
      </c>
      <c r="C97">
        <v>1</v>
      </c>
      <c r="D97">
        <v>1</v>
      </c>
      <c r="E97">
        <v>20</v>
      </c>
      <c r="H97" t="s">
        <v>1528</v>
      </c>
      <c r="I97">
        <f>I91/(I91+I92)</f>
        <v>0.66346153846153844</v>
      </c>
      <c r="N97" t="str">
        <v>CuttingInKitchen</v>
      </c>
      <c r="O97">
        <f t="shared" si="32"/>
        <v>7</v>
      </c>
      <c r="P97">
        <f t="shared" si="33"/>
        <v>6</v>
      </c>
      <c r="Q97">
        <f t="shared" si="34"/>
        <v>4</v>
      </c>
      <c r="R97">
        <f t="shared" si="35"/>
        <v>3</v>
      </c>
      <c r="S97" s="5">
        <f t="shared" si="38"/>
        <v>0.7</v>
      </c>
      <c r="T97" s="5">
        <f t="shared" si="39"/>
        <v>0.4</v>
      </c>
    </row>
    <row r="98" spans="1:20" x14ac:dyDescent="0.2">
      <c r="A98" t="s">
        <v>116</v>
      </c>
      <c r="B98" t="s">
        <v>13</v>
      </c>
      <c r="C98">
        <v>1</v>
      </c>
      <c r="D98">
        <v>1</v>
      </c>
      <c r="E98">
        <v>10</v>
      </c>
      <c r="H98" t="s">
        <v>1529</v>
      </c>
      <c r="I98">
        <f>(I91/(I91+J91))</f>
        <v>0.46</v>
      </c>
    </row>
    <row r="99" spans="1:20" x14ac:dyDescent="0.2">
      <c r="A99" t="s">
        <v>117</v>
      </c>
      <c r="B99" t="s">
        <v>8</v>
      </c>
      <c r="C99">
        <v>1</v>
      </c>
      <c r="D99">
        <v>1</v>
      </c>
      <c r="E99">
        <v>10</v>
      </c>
      <c r="H99" t="s">
        <v>1530</v>
      </c>
      <c r="I99">
        <f>2*(I97*I98/(I97+I98))</f>
        <v>0.54330708661417326</v>
      </c>
      <c r="N99" s="2">
        <v>70</v>
      </c>
      <c r="O99" s="2"/>
      <c r="P99" s="2"/>
      <c r="Q99" s="2"/>
      <c r="R99" s="2"/>
      <c r="S99" s="2"/>
      <c r="T99" s="2"/>
    </row>
    <row r="100" spans="1:20" ht="21" x14ac:dyDescent="0.25">
      <c r="A100" t="s">
        <v>118</v>
      </c>
      <c r="B100" t="s">
        <v>6</v>
      </c>
      <c r="C100">
        <v>0</v>
      </c>
      <c r="D100">
        <v>1</v>
      </c>
      <c r="E100">
        <v>4</v>
      </c>
      <c r="O100" s="3" t="s">
        <v>1515</v>
      </c>
      <c r="P100" s="3"/>
    </row>
    <row r="101" spans="1:20" x14ac:dyDescent="0.2">
      <c r="A101" t="s">
        <v>119</v>
      </c>
      <c r="B101" t="s">
        <v>26</v>
      </c>
      <c r="C101">
        <v>1</v>
      </c>
      <c r="D101">
        <v>1</v>
      </c>
      <c r="E101">
        <v>70</v>
      </c>
      <c r="H101" t="s">
        <v>1531</v>
      </c>
      <c r="I101">
        <f>J92/(J92+J91)</f>
        <v>0.58673469387755106</v>
      </c>
    </row>
    <row r="102" spans="1:20" ht="19" x14ac:dyDescent="0.25">
      <c r="A102" t="s">
        <v>120</v>
      </c>
      <c r="B102" t="s">
        <v>26</v>
      </c>
      <c r="C102">
        <v>1</v>
      </c>
      <c r="D102">
        <v>0</v>
      </c>
      <c r="E102">
        <v>10</v>
      </c>
      <c r="H102" t="s">
        <v>1532</v>
      </c>
      <c r="I102">
        <f>J92/(J92+I92)</f>
        <v>0.76666666666666672</v>
      </c>
      <c r="N102" s="4" t="str" cm="1">
        <f t="array" ref="N102:N116">_xlfn.UNIQUE(B$2:B$1501)</f>
        <v>SalsaSpin</v>
      </c>
      <c r="O102" s="1" t="s">
        <v>1519</v>
      </c>
      <c r="P102" s="1" t="s">
        <v>1520</v>
      </c>
      <c r="Q102" s="1" t="s">
        <v>1521</v>
      </c>
      <c r="R102" s="1" t="s">
        <v>1522</v>
      </c>
      <c r="S102" s="1" t="s">
        <v>1523</v>
      </c>
      <c r="T102" s="1" t="s">
        <v>1524</v>
      </c>
    </row>
    <row r="103" spans="1:20" x14ac:dyDescent="0.2">
      <c r="A103" t="s">
        <v>121</v>
      </c>
      <c r="B103" t="s">
        <v>8</v>
      </c>
      <c r="C103">
        <v>1</v>
      </c>
      <c r="D103">
        <v>0</v>
      </c>
      <c r="E103">
        <v>10</v>
      </c>
      <c r="H103" t="s">
        <v>1533</v>
      </c>
      <c r="I103">
        <f>2*(I101*I102/(I101+I102))</f>
        <v>0.66473988439306364</v>
      </c>
      <c r="N103" t="str">
        <v>ThrowDiscuss</v>
      </c>
      <c r="O103">
        <f>COUNTIFS($B$2:$B$1501,N103, $C$2:$C$1501, 1, $D$2:$D$1501, 1,$E$2:$E$1501,70)</f>
        <v>7</v>
      </c>
      <c r="P103">
        <f>COUNTIFS($B$2:$B$1501,N103, $C$2:$C$1501, 0, $D$2:$D$1501, 1,$E$2:$E$1501,70)</f>
        <v>4</v>
      </c>
      <c r="Q103">
        <f>COUNTIFS($B$2:$B$1501,N103, $C$2:$C$1501, 0, $D$2:$D$1501, 0,$E$2:$E$1501,70)</f>
        <v>6</v>
      </c>
      <c r="R103">
        <f>COUNTIFS($B$2:$B$1501,N103, $C$2:$C$1501, 1, $D$2:$D$1501, 0,$E$2:$E$1501,70)</f>
        <v>3</v>
      </c>
      <c r="S103" s="5">
        <f>O103/(R103+O103)</f>
        <v>0.7</v>
      </c>
      <c r="T103" s="5">
        <f>Q103/(Q103+P103)</f>
        <v>0.6</v>
      </c>
    </row>
    <row r="104" spans="1:20" x14ac:dyDescent="0.2">
      <c r="A104" t="s">
        <v>122</v>
      </c>
      <c r="B104" t="s">
        <v>61</v>
      </c>
      <c r="C104">
        <v>0</v>
      </c>
      <c r="D104">
        <v>1</v>
      </c>
      <c r="E104">
        <v>20</v>
      </c>
      <c r="N104" t="str">
        <v>BabyCrawling</v>
      </c>
      <c r="O104">
        <f t="shared" ref="O104:O116" si="40">COUNTIFS($B$2:$B$1501,N104, $C$2:$C$1501, 1, $D$2:$D$1501, 1,$E$2:$E$1501,70)</f>
        <v>7</v>
      </c>
      <c r="P104">
        <f t="shared" ref="P104:P116" si="41">COUNTIFS($B$2:$B$1501,N104, $C$2:$C$1501, 0, $D$2:$D$1501, 1,$E$2:$E$1501,70)</f>
        <v>6</v>
      </c>
      <c r="Q104">
        <f t="shared" ref="Q104:Q116" si="42">COUNTIFS($B$2:$B$1501,N104, $C$2:$C$1501, 0, $D$2:$D$1501, 0,$E$2:$E$1501,70)</f>
        <v>4</v>
      </c>
      <c r="R104">
        <f t="shared" ref="R104:R116" si="43">COUNTIFS($B$2:$B$1501,N104, $C$2:$C$1501, 1, $D$2:$D$1501, 0,$E$2:$E$1501,70)</f>
        <v>3</v>
      </c>
      <c r="S104" s="5">
        <f t="shared" ref="S104:S108" si="44">O104/(R104+O104)</f>
        <v>0.7</v>
      </c>
      <c r="T104" s="5">
        <f t="shared" ref="T104:T108" si="45">Q104/(Q104+P104)</f>
        <v>0.4</v>
      </c>
    </row>
    <row r="105" spans="1:20" x14ac:dyDescent="0.2">
      <c r="A105" t="s">
        <v>123</v>
      </c>
      <c r="B105" t="s">
        <v>53</v>
      </c>
      <c r="C105">
        <v>1</v>
      </c>
      <c r="D105">
        <v>1</v>
      </c>
      <c r="E105">
        <v>4</v>
      </c>
      <c r="N105" t="str">
        <v>HorseRiding</v>
      </c>
      <c r="O105">
        <f t="shared" si="40"/>
        <v>10</v>
      </c>
      <c r="P105">
        <f t="shared" si="41"/>
        <v>5</v>
      </c>
      <c r="Q105">
        <f t="shared" si="42"/>
        <v>5</v>
      </c>
      <c r="R105">
        <f t="shared" si="43"/>
        <v>0</v>
      </c>
      <c r="S105" s="5">
        <f t="shared" si="44"/>
        <v>1</v>
      </c>
      <c r="T105" s="5">
        <f t="shared" si="45"/>
        <v>0.5</v>
      </c>
    </row>
    <row r="106" spans="1:20" x14ac:dyDescent="0.2">
      <c r="A106" t="s">
        <v>124</v>
      </c>
      <c r="B106" t="s">
        <v>15</v>
      </c>
      <c r="C106">
        <v>1</v>
      </c>
      <c r="D106">
        <v>1</v>
      </c>
      <c r="E106">
        <v>20</v>
      </c>
      <c r="N106" t="str">
        <v>PoleVault</v>
      </c>
      <c r="O106">
        <f t="shared" si="40"/>
        <v>6</v>
      </c>
      <c r="P106">
        <f t="shared" si="41"/>
        <v>5</v>
      </c>
      <c r="Q106">
        <f t="shared" si="42"/>
        <v>5</v>
      </c>
      <c r="R106">
        <f t="shared" si="43"/>
        <v>4</v>
      </c>
      <c r="S106" s="5">
        <f t="shared" si="44"/>
        <v>0.6</v>
      </c>
      <c r="T106" s="5">
        <f t="shared" si="45"/>
        <v>0.5</v>
      </c>
    </row>
    <row r="107" spans="1:20" x14ac:dyDescent="0.2">
      <c r="A107" t="s">
        <v>125</v>
      </c>
      <c r="B107" t="s">
        <v>23</v>
      </c>
      <c r="C107">
        <v>0</v>
      </c>
      <c r="D107">
        <v>1</v>
      </c>
      <c r="E107">
        <v>4</v>
      </c>
      <c r="N107" t="str">
        <v>TaiChi</v>
      </c>
      <c r="O107">
        <f t="shared" si="40"/>
        <v>8</v>
      </c>
      <c r="P107">
        <f t="shared" si="41"/>
        <v>7</v>
      </c>
      <c r="Q107">
        <f t="shared" si="42"/>
        <v>3</v>
      </c>
      <c r="R107">
        <f t="shared" si="43"/>
        <v>2</v>
      </c>
      <c r="S107" s="5">
        <f t="shared" si="44"/>
        <v>0.8</v>
      </c>
      <c r="T107" s="5">
        <f t="shared" si="45"/>
        <v>0.3</v>
      </c>
    </row>
    <row r="108" spans="1:20" x14ac:dyDescent="0.2">
      <c r="A108" t="s">
        <v>126</v>
      </c>
      <c r="B108" t="s">
        <v>26</v>
      </c>
      <c r="C108">
        <v>0</v>
      </c>
      <c r="D108">
        <v>1</v>
      </c>
      <c r="E108">
        <v>4</v>
      </c>
      <c r="N108" t="str">
        <v>BasketballDunking</v>
      </c>
      <c r="O108">
        <f t="shared" si="40"/>
        <v>9</v>
      </c>
      <c r="P108">
        <f t="shared" si="41"/>
        <v>4</v>
      </c>
      <c r="Q108">
        <f t="shared" si="42"/>
        <v>6</v>
      </c>
      <c r="R108">
        <f t="shared" si="43"/>
        <v>1</v>
      </c>
      <c r="S108" s="5">
        <f t="shared" si="44"/>
        <v>0.9</v>
      </c>
      <c r="T108" s="5">
        <f t="shared" si="45"/>
        <v>0.6</v>
      </c>
    </row>
    <row r="109" spans="1:20" x14ac:dyDescent="0.2">
      <c r="A109" t="s">
        <v>127</v>
      </c>
      <c r="B109" t="s">
        <v>61</v>
      </c>
      <c r="C109">
        <v>1</v>
      </c>
      <c r="D109">
        <v>1</v>
      </c>
      <c r="E109">
        <v>70</v>
      </c>
      <c r="N109" t="str">
        <v>Kayaking</v>
      </c>
      <c r="O109">
        <f t="shared" si="40"/>
        <v>6</v>
      </c>
      <c r="P109">
        <f t="shared" si="41"/>
        <v>7</v>
      </c>
      <c r="Q109">
        <f t="shared" si="42"/>
        <v>3</v>
      </c>
      <c r="R109">
        <f t="shared" si="43"/>
        <v>4</v>
      </c>
      <c r="S109" s="5">
        <f>O109/(R109+O109)</f>
        <v>0.6</v>
      </c>
      <c r="T109" s="5">
        <f>Q109/(Q109+P109)</f>
        <v>0.3</v>
      </c>
    </row>
    <row r="110" spans="1:20" x14ac:dyDescent="0.2">
      <c r="A110" t="s">
        <v>128</v>
      </c>
      <c r="B110" t="s">
        <v>19</v>
      </c>
      <c r="C110">
        <v>0</v>
      </c>
      <c r="D110">
        <v>1</v>
      </c>
      <c r="E110">
        <v>10</v>
      </c>
      <c r="N110" t="str">
        <v>Fencing</v>
      </c>
      <c r="O110">
        <f t="shared" si="40"/>
        <v>8</v>
      </c>
      <c r="P110">
        <f t="shared" si="41"/>
        <v>5</v>
      </c>
      <c r="Q110">
        <f t="shared" si="42"/>
        <v>5</v>
      </c>
      <c r="R110">
        <f t="shared" si="43"/>
        <v>2</v>
      </c>
      <c r="S110" s="5">
        <f t="shared" ref="S110:S116" si="46">O110/(R110+O110)</f>
        <v>0.8</v>
      </c>
      <c r="T110" s="5">
        <f t="shared" ref="T110:T116" si="47">Q110/(Q110+P110)</f>
        <v>0.5</v>
      </c>
    </row>
    <row r="111" spans="1:20" x14ac:dyDescent="0.2">
      <c r="A111" t="s">
        <v>129</v>
      </c>
      <c r="B111" t="s">
        <v>17</v>
      </c>
      <c r="C111">
        <v>1</v>
      </c>
      <c r="D111">
        <v>1</v>
      </c>
      <c r="E111">
        <v>40</v>
      </c>
      <c r="N111" t="str">
        <v>Surfing</v>
      </c>
      <c r="O111">
        <f t="shared" si="40"/>
        <v>8</v>
      </c>
      <c r="P111">
        <f t="shared" si="41"/>
        <v>4</v>
      </c>
      <c r="Q111">
        <f t="shared" si="42"/>
        <v>6</v>
      </c>
      <c r="R111">
        <f t="shared" si="43"/>
        <v>2</v>
      </c>
      <c r="S111" s="5">
        <f t="shared" si="46"/>
        <v>0.8</v>
      </c>
      <c r="T111" s="5">
        <f t="shared" si="47"/>
        <v>0.6</v>
      </c>
    </row>
    <row r="112" spans="1:20" x14ac:dyDescent="0.2">
      <c r="A112" t="s">
        <v>130</v>
      </c>
      <c r="B112" t="s">
        <v>13</v>
      </c>
      <c r="C112">
        <v>0</v>
      </c>
      <c r="D112">
        <v>0</v>
      </c>
      <c r="E112">
        <v>70</v>
      </c>
      <c r="N112" t="str">
        <v>DogWalking</v>
      </c>
      <c r="O112">
        <f t="shared" si="40"/>
        <v>8</v>
      </c>
      <c r="P112">
        <f t="shared" si="41"/>
        <v>4</v>
      </c>
      <c r="Q112">
        <f t="shared" si="42"/>
        <v>6</v>
      </c>
      <c r="R112">
        <f t="shared" si="43"/>
        <v>2</v>
      </c>
      <c r="S112" s="5">
        <f t="shared" si="46"/>
        <v>0.8</v>
      </c>
      <c r="T112" s="5">
        <f t="shared" si="47"/>
        <v>0.6</v>
      </c>
    </row>
    <row r="113" spans="1:20" x14ac:dyDescent="0.2">
      <c r="A113" t="s">
        <v>131</v>
      </c>
      <c r="B113" t="s">
        <v>61</v>
      </c>
      <c r="C113">
        <v>1</v>
      </c>
      <c r="D113">
        <v>1</v>
      </c>
      <c r="E113">
        <v>20</v>
      </c>
      <c r="N113" t="str">
        <v>Diving</v>
      </c>
      <c r="O113">
        <f t="shared" si="40"/>
        <v>8</v>
      </c>
      <c r="P113">
        <f t="shared" si="41"/>
        <v>5</v>
      </c>
      <c r="Q113">
        <f t="shared" si="42"/>
        <v>5</v>
      </c>
      <c r="R113">
        <f t="shared" si="43"/>
        <v>2</v>
      </c>
      <c r="S113" s="5">
        <f t="shared" si="46"/>
        <v>0.8</v>
      </c>
      <c r="T113" s="5">
        <f t="shared" si="47"/>
        <v>0.5</v>
      </c>
    </row>
    <row r="114" spans="1:20" x14ac:dyDescent="0.2">
      <c r="A114" t="s">
        <v>132</v>
      </c>
      <c r="B114" t="s">
        <v>61</v>
      </c>
      <c r="C114">
        <v>0</v>
      </c>
      <c r="D114">
        <v>1</v>
      </c>
      <c r="E114">
        <v>40</v>
      </c>
      <c r="N114" t="str">
        <v>Punching</v>
      </c>
      <c r="O114">
        <f t="shared" si="40"/>
        <v>7</v>
      </c>
      <c r="P114">
        <f t="shared" si="41"/>
        <v>7</v>
      </c>
      <c r="Q114">
        <f t="shared" si="42"/>
        <v>3</v>
      </c>
      <c r="R114">
        <f t="shared" si="43"/>
        <v>3</v>
      </c>
      <c r="S114" s="5">
        <f t="shared" si="46"/>
        <v>0.7</v>
      </c>
      <c r="T114" s="5">
        <f t="shared" si="47"/>
        <v>0.3</v>
      </c>
    </row>
    <row r="115" spans="1:20" x14ac:dyDescent="0.2">
      <c r="A115" t="s">
        <v>133</v>
      </c>
      <c r="B115" t="s">
        <v>17</v>
      </c>
      <c r="C115">
        <v>0</v>
      </c>
      <c r="D115">
        <v>1</v>
      </c>
      <c r="E115">
        <v>20</v>
      </c>
      <c r="N115" t="str">
        <v>MilitaryParade</v>
      </c>
      <c r="O115">
        <f t="shared" si="40"/>
        <v>8</v>
      </c>
      <c r="P115">
        <f t="shared" si="41"/>
        <v>7</v>
      </c>
      <c r="Q115">
        <f t="shared" si="42"/>
        <v>3</v>
      </c>
      <c r="R115">
        <f t="shared" si="43"/>
        <v>2</v>
      </c>
      <c r="S115" s="5">
        <f t="shared" si="46"/>
        <v>0.8</v>
      </c>
      <c r="T115" s="5">
        <f t="shared" si="47"/>
        <v>0.3</v>
      </c>
    </row>
    <row r="116" spans="1:20" x14ac:dyDescent="0.2">
      <c r="A116" t="s">
        <v>134</v>
      </c>
      <c r="B116" t="s">
        <v>28</v>
      </c>
      <c r="C116">
        <v>0</v>
      </c>
      <c r="D116">
        <v>1</v>
      </c>
      <c r="E116">
        <v>10</v>
      </c>
      <c r="N116" t="str">
        <v>CuttingInKitchen</v>
      </c>
      <c r="O116">
        <f t="shared" si="40"/>
        <v>9</v>
      </c>
      <c r="P116">
        <f t="shared" si="41"/>
        <v>7</v>
      </c>
      <c r="Q116">
        <f t="shared" si="42"/>
        <v>3</v>
      </c>
      <c r="R116">
        <f t="shared" si="43"/>
        <v>1</v>
      </c>
      <c r="S116" s="5">
        <f t="shared" si="46"/>
        <v>0.9</v>
      </c>
      <c r="T116" s="5">
        <f t="shared" si="47"/>
        <v>0.3</v>
      </c>
    </row>
    <row r="117" spans="1:20" x14ac:dyDescent="0.2">
      <c r="A117" t="s">
        <v>135</v>
      </c>
      <c r="B117" t="s">
        <v>15</v>
      </c>
      <c r="C117">
        <v>0</v>
      </c>
      <c r="D117">
        <v>1</v>
      </c>
      <c r="E117">
        <v>10</v>
      </c>
    </row>
    <row r="118" spans="1:20" x14ac:dyDescent="0.2">
      <c r="A118" t="s">
        <v>136</v>
      </c>
      <c r="B118" t="s">
        <v>46</v>
      </c>
      <c r="C118">
        <v>1</v>
      </c>
      <c r="D118">
        <v>0</v>
      </c>
      <c r="E118">
        <v>20</v>
      </c>
    </row>
    <row r="119" spans="1:20" x14ac:dyDescent="0.2">
      <c r="A119" t="s">
        <v>137</v>
      </c>
      <c r="B119" t="s">
        <v>15</v>
      </c>
      <c r="C119">
        <v>1</v>
      </c>
      <c r="D119">
        <v>1</v>
      </c>
      <c r="E119">
        <v>40</v>
      </c>
    </row>
    <row r="120" spans="1:20" x14ac:dyDescent="0.2">
      <c r="A120" t="s">
        <v>138</v>
      </c>
      <c r="B120" t="s">
        <v>23</v>
      </c>
      <c r="C120">
        <v>0</v>
      </c>
      <c r="D120">
        <v>0</v>
      </c>
      <c r="E120">
        <v>4</v>
      </c>
    </row>
    <row r="121" spans="1:20" x14ac:dyDescent="0.2">
      <c r="A121" t="s">
        <v>139</v>
      </c>
      <c r="B121" t="s">
        <v>40</v>
      </c>
      <c r="C121">
        <v>1</v>
      </c>
      <c r="D121">
        <v>1</v>
      </c>
      <c r="E121">
        <v>10</v>
      </c>
    </row>
    <row r="122" spans="1:20" x14ac:dyDescent="0.2">
      <c r="A122" t="s">
        <v>140</v>
      </c>
      <c r="B122" t="s">
        <v>17</v>
      </c>
      <c r="C122">
        <v>0</v>
      </c>
      <c r="D122">
        <v>0</v>
      </c>
      <c r="E122">
        <v>4</v>
      </c>
    </row>
    <row r="123" spans="1:20" x14ac:dyDescent="0.2">
      <c r="A123" t="s">
        <v>141</v>
      </c>
      <c r="B123" t="s">
        <v>17</v>
      </c>
      <c r="C123">
        <v>0</v>
      </c>
      <c r="D123">
        <v>1</v>
      </c>
      <c r="E123">
        <v>70</v>
      </c>
    </row>
    <row r="124" spans="1:20" x14ac:dyDescent="0.2">
      <c r="A124" t="s">
        <v>142</v>
      </c>
      <c r="B124" t="s">
        <v>19</v>
      </c>
      <c r="C124">
        <v>1</v>
      </c>
      <c r="D124">
        <v>1</v>
      </c>
      <c r="E124">
        <v>10</v>
      </c>
    </row>
    <row r="125" spans="1:20" x14ac:dyDescent="0.2">
      <c r="A125" t="s">
        <v>143</v>
      </c>
      <c r="B125" t="s">
        <v>26</v>
      </c>
      <c r="C125">
        <v>0</v>
      </c>
      <c r="D125">
        <v>1</v>
      </c>
      <c r="E125">
        <v>10</v>
      </c>
    </row>
    <row r="126" spans="1:20" x14ac:dyDescent="0.2">
      <c r="A126" t="s">
        <v>144</v>
      </c>
      <c r="B126" t="s">
        <v>40</v>
      </c>
      <c r="C126">
        <v>1</v>
      </c>
      <c r="D126">
        <v>1</v>
      </c>
      <c r="E126">
        <v>40</v>
      </c>
    </row>
    <row r="127" spans="1:20" x14ac:dyDescent="0.2">
      <c r="A127" t="s">
        <v>145</v>
      </c>
      <c r="B127" t="s">
        <v>17</v>
      </c>
      <c r="C127">
        <v>1</v>
      </c>
      <c r="D127">
        <v>1</v>
      </c>
      <c r="E127">
        <v>70</v>
      </c>
    </row>
    <row r="128" spans="1:20" x14ac:dyDescent="0.2">
      <c r="A128" t="s">
        <v>146</v>
      </c>
      <c r="B128" t="s">
        <v>53</v>
      </c>
      <c r="C128">
        <v>1</v>
      </c>
      <c r="D128">
        <v>1</v>
      </c>
      <c r="E128">
        <v>40</v>
      </c>
    </row>
    <row r="129" spans="1:5" x14ac:dyDescent="0.2">
      <c r="A129" t="s">
        <v>147</v>
      </c>
      <c r="B129" t="s">
        <v>6</v>
      </c>
      <c r="C129">
        <v>0</v>
      </c>
      <c r="D129">
        <v>1</v>
      </c>
      <c r="E129">
        <v>70</v>
      </c>
    </row>
    <row r="130" spans="1:5" x14ac:dyDescent="0.2">
      <c r="A130" t="s">
        <v>148</v>
      </c>
      <c r="B130" t="s">
        <v>46</v>
      </c>
      <c r="C130">
        <v>0</v>
      </c>
      <c r="D130">
        <v>1</v>
      </c>
      <c r="E130">
        <v>70</v>
      </c>
    </row>
    <row r="131" spans="1:5" x14ac:dyDescent="0.2">
      <c r="A131" t="s">
        <v>149</v>
      </c>
      <c r="B131" t="s">
        <v>8</v>
      </c>
      <c r="C131">
        <v>1</v>
      </c>
      <c r="D131">
        <v>1</v>
      </c>
      <c r="E131">
        <v>4</v>
      </c>
    </row>
    <row r="132" spans="1:5" x14ac:dyDescent="0.2">
      <c r="A132" t="s">
        <v>150</v>
      </c>
      <c r="B132" t="s">
        <v>61</v>
      </c>
      <c r="C132">
        <v>1</v>
      </c>
      <c r="D132">
        <v>1</v>
      </c>
      <c r="E132">
        <v>40</v>
      </c>
    </row>
    <row r="133" spans="1:5" x14ac:dyDescent="0.2">
      <c r="A133" t="s">
        <v>151</v>
      </c>
      <c r="B133" t="s">
        <v>61</v>
      </c>
      <c r="C133">
        <v>1</v>
      </c>
      <c r="D133">
        <v>1</v>
      </c>
      <c r="E133">
        <v>10</v>
      </c>
    </row>
    <row r="134" spans="1:5" x14ac:dyDescent="0.2">
      <c r="A134" t="s">
        <v>152</v>
      </c>
      <c r="B134" t="s">
        <v>6</v>
      </c>
      <c r="C134">
        <v>0</v>
      </c>
      <c r="D134">
        <v>1</v>
      </c>
      <c r="E134">
        <v>20</v>
      </c>
    </row>
    <row r="135" spans="1:5" x14ac:dyDescent="0.2">
      <c r="A135" t="s">
        <v>153</v>
      </c>
      <c r="B135" t="s">
        <v>37</v>
      </c>
      <c r="C135">
        <v>1</v>
      </c>
      <c r="D135">
        <v>1</v>
      </c>
      <c r="E135">
        <v>10</v>
      </c>
    </row>
    <row r="136" spans="1:5" x14ac:dyDescent="0.2">
      <c r="A136" t="s">
        <v>154</v>
      </c>
      <c r="B136" t="s">
        <v>40</v>
      </c>
      <c r="C136">
        <v>0</v>
      </c>
      <c r="D136">
        <v>0</v>
      </c>
      <c r="E136">
        <v>4</v>
      </c>
    </row>
    <row r="137" spans="1:5" x14ac:dyDescent="0.2">
      <c r="A137" t="s">
        <v>155</v>
      </c>
      <c r="B137" t="s">
        <v>37</v>
      </c>
      <c r="C137">
        <v>1</v>
      </c>
      <c r="D137">
        <v>1</v>
      </c>
      <c r="E137">
        <v>20</v>
      </c>
    </row>
    <row r="138" spans="1:5" x14ac:dyDescent="0.2">
      <c r="A138" t="s">
        <v>156</v>
      </c>
      <c r="B138" t="s">
        <v>13</v>
      </c>
      <c r="C138">
        <v>0</v>
      </c>
      <c r="D138">
        <v>0</v>
      </c>
      <c r="E138">
        <v>10</v>
      </c>
    </row>
    <row r="139" spans="1:5" x14ac:dyDescent="0.2">
      <c r="A139" t="s">
        <v>157</v>
      </c>
      <c r="B139" t="s">
        <v>23</v>
      </c>
      <c r="C139">
        <v>0</v>
      </c>
      <c r="D139">
        <v>0</v>
      </c>
      <c r="E139">
        <v>10</v>
      </c>
    </row>
    <row r="140" spans="1:5" x14ac:dyDescent="0.2">
      <c r="A140" t="s">
        <v>158</v>
      </c>
      <c r="B140" t="s">
        <v>26</v>
      </c>
      <c r="C140">
        <v>1</v>
      </c>
      <c r="D140">
        <v>1</v>
      </c>
      <c r="E140">
        <v>20</v>
      </c>
    </row>
    <row r="141" spans="1:5" x14ac:dyDescent="0.2">
      <c r="A141" t="s">
        <v>159</v>
      </c>
      <c r="B141" t="s">
        <v>61</v>
      </c>
      <c r="C141">
        <v>1</v>
      </c>
      <c r="D141">
        <v>1</v>
      </c>
      <c r="E141">
        <v>40</v>
      </c>
    </row>
    <row r="142" spans="1:5" x14ac:dyDescent="0.2">
      <c r="A142" t="s">
        <v>160</v>
      </c>
      <c r="B142" t="s">
        <v>46</v>
      </c>
      <c r="C142">
        <v>0</v>
      </c>
      <c r="D142">
        <v>1</v>
      </c>
      <c r="E142">
        <v>4</v>
      </c>
    </row>
    <row r="143" spans="1:5" x14ac:dyDescent="0.2">
      <c r="A143" t="s">
        <v>161</v>
      </c>
      <c r="B143" t="s">
        <v>61</v>
      </c>
      <c r="C143">
        <v>1</v>
      </c>
      <c r="D143">
        <v>1</v>
      </c>
      <c r="E143">
        <v>10</v>
      </c>
    </row>
    <row r="144" spans="1:5" x14ac:dyDescent="0.2">
      <c r="A144" t="s">
        <v>162</v>
      </c>
      <c r="B144" t="s">
        <v>37</v>
      </c>
      <c r="C144">
        <v>1</v>
      </c>
      <c r="D144">
        <v>0</v>
      </c>
      <c r="E144">
        <v>10</v>
      </c>
    </row>
    <row r="145" spans="1:5" x14ac:dyDescent="0.2">
      <c r="A145" t="s">
        <v>163</v>
      </c>
      <c r="B145" t="s">
        <v>46</v>
      </c>
      <c r="C145">
        <v>0</v>
      </c>
      <c r="D145">
        <v>0</v>
      </c>
      <c r="E145">
        <v>10</v>
      </c>
    </row>
    <row r="146" spans="1:5" x14ac:dyDescent="0.2">
      <c r="A146" t="s">
        <v>164</v>
      </c>
      <c r="B146" t="s">
        <v>13</v>
      </c>
      <c r="C146">
        <v>0</v>
      </c>
      <c r="D146">
        <v>1</v>
      </c>
      <c r="E146">
        <v>20</v>
      </c>
    </row>
    <row r="147" spans="1:5" x14ac:dyDescent="0.2">
      <c r="A147" t="s">
        <v>165</v>
      </c>
      <c r="B147" t="s">
        <v>6</v>
      </c>
      <c r="C147">
        <v>1</v>
      </c>
      <c r="D147">
        <v>0</v>
      </c>
      <c r="E147">
        <v>20</v>
      </c>
    </row>
    <row r="148" spans="1:5" x14ac:dyDescent="0.2">
      <c r="A148" t="s">
        <v>166</v>
      </c>
      <c r="B148" t="s">
        <v>6</v>
      </c>
      <c r="C148">
        <v>0</v>
      </c>
      <c r="D148">
        <v>1</v>
      </c>
      <c r="E148">
        <v>4</v>
      </c>
    </row>
    <row r="149" spans="1:5" x14ac:dyDescent="0.2">
      <c r="A149" t="s">
        <v>167</v>
      </c>
      <c r="B149" t="s">
        <v>61</v>
      </c>
      <c r="C149">
        <v>0</v>
      </c>
      <c r="D149">
        <v>1</v>
      </c>
      <c r="E149">
        <v>40</v>
      </c>
    </row>
    <row r="150" spans="1:5" x14ac:dyDescent="0.2">
      <c r="A150" t="s">
        <v>168</v>
      </c>
      <c r="B150" t="s">
        <v>17</v>
      </c>
      <c r="C150">
        <v>1</v>
      </c>
      <c r="D150">
        <v>1</v>
      </c>
      <c r="E150">
        <v>70</v>
      </c>
    </row>
    <row r="151" spans="1:5" x14ac:dyDescent="0.2">
      <c r="A151" t="s">
        <v>169</v>
      </c>
      <c r="B151" t="s">
        <v>61</v>
      </c>
      <c r="C151">
        <v>1</v>
      </c>
      <c r="D151">
        <v>1</v>
      </c>
      <c r="E151">
        <v>10</v>
      </c>
    </row>
    <row r="152" spans="1:5" x14ac:dyDescent="0.2">
      <c r="A152" t="s">
        <v>170</v>
      </c>
      <c r="B152" t="s">
        <v>8</v>
      </c>
      <c r="C152">
        <v>1</v>
      </c>
      <c r="D152">
        <v>1</v>
      </c>
      <c r="E152">
        <v>70</v>
      </c>
    </row>
    <row r="153" spans="1:5" x14ac:dyDescent="0.2">
      <c r="A153" t="s">
        <v>171</v>
      </c>
      <c r="B153" t="s">
        <v>26</v>
      </c>
      <c r="C153">
        <v>0</v>
      </c>
      <c r="D153">
        <v>1</v>
      </c>
      <c r="E153">
        <v>70</v>
      </c>
    </row>
    <row r="154" spans="1:5" x14ac:dyDescent="0.2">
      <c r="A154" t="s">
        <v>172</v>
      </c>
      <c r="B154" t="s">
        <v>40</v>
      </c>
      <c r="C154">
        <v>0</v>
      </c>
      <c r="D154">
        <v>1</v>
      </c>
      <c r="E154">
        <v>40</v>
      </c>
    </row>
    <row r="155" spans="1:5" x14ac:dyDescent="0.2">
      <c r="A155" t="s">
        <v>173</v>
      </c>
      <c r="B155" t="s">
        <v>37</v>
      </c>
      <c r="C155">
        <v>1</v>
      </c>
      <c r="D155">
        <v>1</v>
      </c>
      <c r="E155">
        <v>70</v>
      </c>
    </row>
    <row r="156" spans="1:5" x14ac:dyDescent="0.2">
      <c r="A156" t="s">
        <v>174</v>
      </c>
      <c r="B156" t="s">
        <v>37</v>
      </c>
      <c r="C156">
        <v>1</v>
      </c>
      <c r="D156">
        <v>1</v>
      </c>
      <c r="E156">
        <v>4</v>
      </c>
    </row>
    <row r="157" spans="1:5" x14ac:dyDescent="0.2">
      <c r="A157" t="s">
        <v>175</v>
      </c>
      <c r="B157" t="s">
        <v>53</v>
      </c>
      <c r="C157">
        <v>1</v>
      </c>
      <c r="D157">
        <v>0</v>
      </c>
      <c r="E157">
        <v>4</v>
      </c>
    </row>
    <row r="158" spans="1:5" x14ac:dyDescent="0.2">
      <c r="A158" t="s">
        <v>176</v>
      </c>
      <c r="B158" t="s">
        <v>37</v>
      </c>
      <c r="C158">
        <v>1</v>
      </c>
      <c r="D158">
        <v>0</v>
      </c>
      <c r="E158">
        <v>4</v>
      </c>
    </row>
    <row r="159" spans="1:5" x14ac:dyDescent="0.2">
      <c r="A159" t="s">
        <v>177</v>
      </c>
      <c r="B159" t="s">
        <v>6</v>
      </c>
      <c r="C159">
        <v>1</v>
      </c>
      <c r="D159">
        <v>1</v>
      </c>
      <c r="E159">
        <v>10</v>
      </c>
    </row>
    <row r="160" spans="1:5" x14ac:dyDescent="0.2">
      <c r="A160" t="s">
        <v>178</v>
      </c>
      <c r="B160" t="s">
        <v>11</v>
      </c>
      <c r="C160">
        <v>1</v>
      </c>
      <c r="D160">
        <v>1</v>
      </c>
      <c r="E160">
        <v>70</v>
      </c>
    </row>
    <row r="161" spans="1:5" x14ac:dyDescent="0.2">
      <c r="A161" t="s">
        <v>179</v>
      </c>
      <c r="B161" t="s">
        <v>61</v>
      </c>
      <c r="C161">
        <v>1</v>
      </c>
      <c r="D161">
        <v>1</v>
      </c>
      <c r="E161">
        <v>40</v>
      </c>
    </row>
    <row r="162" spans="1:5" x14ac:dyDescent="0.2">
      <c r="A162" t="s">
        <v>180</v>
      </c>
      <c r="B162" t="s">
        <v>15</v>
      </c>
      <c r="C162">
        <v>0</v>
      </c>
      <c r="D162">
        <v>0</v>
      </c>
      <c r="E162">
        <v>70</v>
      </c>
    </row>
    <row r="163" spans="1:5" x14ac:dyDescent="0.2">
      <c r="A163" t="s">
        <v>181</v>
      </c>
      <c r="B163" t="s">
        <v>61</v>
      </c>
      <c r="C163">
        <v>1</v>
      </c>
      <c r="D163">
        <v>1</v>
      </c>
      <c r="E163">
        <v>4</v>
      </c>
    </row>
    <row r="164" spans="1:5" x14ac:dyDescent="0.2">
      <c r="A164" t="s">
        <v>182</v>
      </c>
      <c r="B164" t="s">
        <v>53</v>
      </c>
      <c r="C164">
        <v>0</v>
      </c>
      <c r="D164">
        <v>0</v>
      </c>
      <c r="E164">
        <v>70</v>
      </c>
    </row>
    <row r="165" spans="1:5" x14ac:dyDescent="0.2">
      <c r="A165" t="s">
        <v>183</v>
      </c>
      <c r="B165" t="s">
        <v>37</v>
      </c>
      <c r="C165">
        <v>0</v>
      </c>
      <c r="D165">
        <v>1</v>
      </c>
      <c r="E165">
        <v>4</v>
      </c>
    </row>
    <row r="166" spans="1:5" x14ac:dyDescent="0.2">
      <c r="A166" t="s">
        <v>184</v>
      </c>
      <c r="B166" t="s">
        <v>13</v>
      </c>
      <c r="C166">
        <v>1</v>
      </c>
      <c r="D166">
        <v>1</v>
      </c>
      <c r="E166">
        <v>40</v>
      </c>
    </row>
    <row r="167" spans="1:5" x14ac:dyDescent="0.2">
      <c r="A167" t="s">
        <v>185</v>
      </c>
      <c r="B167" t="s">
        <v>26</v>
      </c>
      <c r="C167">
        <v>0</v>
      </c>
      <c r="D167">
        <v>0</v>
      </c>
      <c r="E167">
        <v>70</v>
      </c>
    </row>
    <row r="168" spans="1:5" x14ac:dyDescent="0.2">
      <c r="A168" t="s">
        <v>186</v>
      </c>
      <c r="B168" t="s">
        <v>11</v>
      </c>
      <c r="C168">
        <v>0</v>
      </c>
      <c r="D168">
        <v>0</v>
      </c>
      <c r="E168">
        <v>10</v>
      </c>
    </row>
    <row r="169" spans="1:5" x14ac:dyDescent="0.2">
      <c r="A169" t="s">
        <v>187</v>
      </c>
      <c r="B169" t="s">
        <v>61</v>
      </c>
      <c r="C169">
        <v>1</v>
      </c>
      <c r="D169">
        <v>0</v>
      </c>
      <c r="E169">
        <v>10</v>
      </c>
    </row>
    <row r="170" spans="1:5" x14ac:dyDescent="0.2">
      <c r="A170" t="s">
        <v>188</v>
      </c>
      <c r="B170" t="s">
        <v>8</v>
      </c>
      <c r="C170">
        <v>0</v>
      </c>
      <c r="D170">
        <v>1</v>
      </c>
      <c r="E170">
        <v>10</v>
      </c>
    </row>
    <row r="171" spans="1:5" x14ac:dyDescent="0.2">
      <c r="A171" t="s">
        <v>189</v>
      </c>
      <c r="B171" t="s">
        <v>26</v>
      </c>
      <c r="C171">
        <v>1</v>
      </c>
      <c r="D171">
        <v>1</v>
      </c>
      <c r="E171">
        <v>20</v>
      </c>
    </row>
    <row r="172" spans="1:5" x14ac:dyDescent="0.2">
      <c r="A172" t="s">
        <v>190</v>
      </c>
      <c r="B172" t="s">
        <v>46</v>
      </c>
      <c r="C172">
        <v>1</v>
      </c>
      <c r="D172">
        <v>1</v>
      </c>
      <c r="E172">
        <v>40</v>
      </c>
    </row>
    <row r="173" spans="1:5" x14ac:dyDescent="0.2">
      <c r="A173" t="s">
        <v>191</v>
      </c>
      <c r="B173" t="s">
        <v>61</v>
      </c>
      <c r="C173">
        <v>0</v>
      </c>
      <c r="D173">
        <v>1</v>
      </c>
      <c r="E173">
        <v>70</v>
      </c>
    </row>
    <row r="174" spans="1:5" x14ac:dyDescent="0.2">
      <c r="A174" t="s">
        <v>192</v>
      </c>
      <c r="B174" t="s">
        <v>8</v>
      </c>
      <c r="C174">
        <v>0</v>
      </c>
      <c r="D174">
        <v>1</v>
      </c>
      <c r="E174">
        <v>4</v>
      </c>
    </row>
    <row r="175" spans="1:5" x14ac:dyDescent="0.2">
      <c r="A175" t="s">
        <v>193</v>
      </c>
      <c r="B175" t="s">
        <v>17</v>
      </c>
      <c r="C175">
        <v>0</v>
      </c>
      <c r="D175">
        <v>1</v>
      </c>
      <c r="E175">
        <v>70</v>
      </c>
    </row>
    <row r="176" spans="1:5" x14ac:dyDescent="0.2">
      <c r="A176" t="s">
        <v>194</v>
      </c>
      <c r="B176" t="s">
        <v>61</v>
      </c>
      <c r="C176">
        <v>0</v>
      </c>
      <c r="D176">
        <v>0</v>
      </c>
      <c r="E176">
        <v>10</v>
      </c>
    </row>
    <row r="177" spans="1:5" x14ac:dyDescent="0.2">
      <c r="A177" t="s">
        <v>195</v>
      </c>
      <c r="B177" t="s">
        <v>61</v>
      </c>
      <c r="C177">
        <v>1</v>
      </c>
      <c r="D177">
        <v>0</v>
      </c>
      <c r="E177">
        <v>20</v>
      </c>
    </row>
    <row r="178" spans="1:5" x14ac:dyDescent="0.2">
      <c r="A178" t="s">
        <v>196</v>
      </c>
      <c r="B178" t="s">
        <v>40</v>
      </c>
      <c r="C178">
        <v>1</v>
      </c>
      <c r="D178">
        <v>0</v>
      </c>
      <c r="E178">
        <v>20</v>
      </c>
    </row>
    <row r="179" spans="1:5" x14ac:dyDescent="0.2">
      <c r="A179" t="s">
        <v>197</v>
      </c>
      <c r="B179" t="s">
        <v>37</v>
      </c>
      <c r="C179">
        <v>0</v>
      </c>
      <c r="D179">
        <v>0</v>
      </c>
      <c r="E179">
        <v>70</v>
      </c>
    </row>
    <row r="180" spans="1:5" x14ac:dyDescent="0.2">
      <c r="A180" t="s">
        <v>198</v>
      </c>
      <c r="B180" t="s">
        <v>15</v>
      </c>
      <c r="C180">
        <v>1</v>
      </c>
      <c r="D180">
        <v>1</v>
      </c>
      <c r="E180">
        <v>10</v>
      </c>
    </row>
    <row r="181" spans="1:5" x14ac:dyDescent="0.2">
      <c r="A181" t="s">
        <v>199</v>
      </c>
      <c r="B181" t="s">
        <v>37</v>
      </c>
      <c r="C181">
        <v>1</v>
      </c>
      <c r="D181">
        <v>1</v>
      </c>
      <c r="E181">
        <v>20</v>
      </c>
    </row>
    <row r="182" spans="1:5" x14ac:dyDescent="0.2">
      <c r="A182" t="s">
        <v>200</v>
      </c>
      <c r="B182" t="s">
        <v>37</v>
      </c>
      <c r="C182">
        <v>0</v>
      </c>
      <c r="D182">
        <v>1</v>
      </c>
      <c r="E182">
        <v>4</v>
      </c>
    </row>
    <row r="183" spans="1:5" x14ac:dyDescent="0.2">
      <c r="A183" t="s">
        <v>201</v>
      </c>
      <c r="B183" t="s">
        <v>15</v>
      </c>
      <c r="C183">
        <v>1</v>
      </c>
      <c r="D183">
        <v>1</v>
      </c>
      <c r="E183">
        <v>70</v>
      </c>
    </row>
    <row r="184" spans="1:5" x14ac:dyDescent="0.2">
      <c r="A184" t="s">
        <v>202</v>
      </c>
      <c r="B184" t="s">
        <v>26</v>
      </c>
      <c r="C184">
        <v>1</v>
      </c>
      <c r="D184">
        <v>1</v>
      </c>
      <c r="E184">
        <v>10</v>
      </c>
    </row>
    <row r="185" spans="1:5" x14ac:dyDescent="0.2">
      <c r="A185" t="s">
        <v>203</v>
      </c>
      <c r="B185" t="s">
        <v>26</v>
      </c>
      <c r="C185">
        <v>0</v>
      </c>
      <c r="D185">
        <v>0</v>
      </c>
      <c r="E185">
        <v>20</v>
      </c>
    </row>
    <row r="186" spans="1:5" x14ac:dyDescent="0.2">
      <c r="A186" t="s">
        <v>204</v>
      </c>
      <c r="B186" t="s">
        <v>15</v>
      </c>
      <c r="C186">
        <v>0</v>
      </c>
      <c r="D186">
        <v>1</v>
      </c>
      <c r="E186">
        <v>4</v>
      </c>
    </row>
    <row r="187" spans="1:5" x14ac:dyDescent="0.2">
      <c r="A187" t="s">
        <v>205</v>
      </c>
      <c r="B187" t="s">
        <v>26</v>
      </c>
      <c r="C187">
        <v>1</v>
      </c>
      <c r="D187">
        <v>0</v>
      </c>
      <c r="E187">
        <v>20</v>
      </c>
    </row>
    <row r="188" spans="1:5" x14ac:dyDescent="0.2">
      <c r="A188" t="s">
        <v>206</v>
      </c>
      <c r="B188" t="s">
        <v>19</v>
      </c>
      <c r="C188">
        <v>0</v>
      </c>
      <c r="D188">
        <v>1</v>
      </c>
      <c r="E188">
        <v>4</v>
      </c>
    </row>
    <row r="189" spans="1:5" x14ac:dyDescent="0.2">
      <c r="A189" t="s">
        <v>207</v>
      </c>
      <c r="B189" t="s">
        <v>53</v>
      </c>
      <c r="C189">
        <v>0</v>
      </c>
      <c r="D189">
        <v>1</v>
      </c>
      <c r="E189">
        <v>10</v>
      </c>
    </row>
    <row r="190" spans="1:5" x14ac:dyDescent="0.2">
      <c r="A190" t="s">
        <v>208</v>
      </c>
      <c r="B190" t="s">
        <v>17</v>
      </c>
      <c r="C190">
        <v>0</v>
      </c>
      <c r="D190">
        <v>0</v>
      </c>
      <c r="E190">
        <v>10</v>
      </c>
    </row>
    <row r="191" spans="1:5" x14ac:dyDescent="0.2">
      <c r="A191" t="s">
        <v>209</v>
      </c>
      <c r="B191" t="s">
        <v>8</v>
      </c>
      <c r="C191">
        <v>1</v>
      </c>
      <c r="D191">
        <v>1</v>
      </c>
      <c r="E191">
        <v>20</v>
      </c>
    </row>
    <row r="192" spans="1:5" x14ac:dyDescent="0.2">
      <c r="A192" t="s">
        <v>210</v>
      </c>
      <c r="B192" t="s">
        <v>53</v>
      </c>
      <c r="C192">
        <v>0</v>
      </c>
      <c r="D192">
        <v>0</v>
      </c>
      <c r="E192">
        <v>4</v>
      </c>
    </row>
    <row r="193" spans="1:5" x14ac:dyDescent="0.2">
      <c r="A193" t="s">
        <v>211</v>
      </c>
      <c r="B193" t="s">
        <v>15</v>
      </c>
      <c r="C193">
        <v>0</v>
      </c>
      <c r="D193">
        <v>1</v>
      </c>
      <c r="E193">
        <v>20</v>
      </c>
    </row>
    <row r="194" spans="1:5" x14ac:dyDescent="0.2">
      <c r="A194" t="s">
        <v>212</v>
      </c>
      <c r="B194" t="s">
        <v>40</v>
      </c>
      <c r="C194">
        <v>1</v>
      </c>
      <c r="D194">
        <v>1</v>
      </c>
      <c r="E194">
        <v>40</v>
      </c>
    </row>
    <row r="195" spans="1:5" x14ac:dyDescent="0.2">
      <c r="A195" t="s">
        <v>213</v>
      </c>
      <c r="B195" t="s">
        <v>19</v>
      </c>
      <c r="C195">
        <v>0</v>
      </c>
      <c r="D195">
        <v>1</v>
      </c>
      <c r="E195">
        <v>4</v>
      </c>
    </row>
    <row r="196" spans="1:5" x14ac:dyDescent="0.2">
      <c r="A196" t="s">
        <v>214</v>
      </c>
      <c r="B196" t="s">
        <v>13</v>
      </c>
      <c r="C196">
        <v>0</v>
      </c>
      <c r="D196">
        <v>1</v>
      </c>
      <c r="E196">
        <v>10</v>
      </c>
    </row>
    <row r="197" spans="1:5" x14ac:dyDescent="0.2">
      <c r="A197" t="s">
        <v>215</v>
      </c>
      <c r="B197" t="s">
        <v>13</v>
      </c>
      <c r="C197">
        <v>1</v>
      </c>
      <c r="D197">
        <v>1</v>
      </c>
      <c r="E197">
        <v>20</v>
      </c>
    </row>
    <row r="198" spans="1:5" x14ac:dyDescent="0.2">
      <c r="A198" t="s">
        <v>216</v>
      </c>
      <c r="B198" t="s">
        <v>40</v>
      </c>
      <c r="C198">
        <v>1</v>
      </c>
      <c r="D198">
        <v>1</v>
      </c>
      <c r="E198">
        <v>10</v>
      </c>
    </row>
    <row r="199" spans="1:5" x14ac:dyDescent="0.2">
      <c r="A199" t="s">
        <v>217</v>
      </c>
      <c r="B199" t="s">
        <v>6</v>
      </c>
      <c r="C199">
        <v>1</v>
      </c>
      <c r="D199">
        <v>0</v>
      </c>
      <c r="E199">
        <v>70</v>
      </c>
    </row>
    <row r="200" spans="1:5" x14ac:dyDescent="0.2">
      <c r="A200" t="s">
        <v>218</v>
      </c>
      <c r="B200" t="s">
        <v>37</v>
      </c>
      <c r="C200">
        <v>0</v>
      </c>
      <c r="D200">
        <v>0</v>
      </c>
      <c r="E200">
        <v>70</v>
      </c>
    </row>
    <row r="201" spans="1:5" x14ac:dyDescent="0.2">
      <c r="A201" t="s">
        <v>219</v>
      </c>
      <c r="B201" t="s">
        <v>53</v>
      </c>
      <c r="C201">
        <v>0</v>
      </c>
      <c r="D201">
        <v>0</v>
      </c>
      <c r="E201">
        <v>4</v>
      </c>
    </row>
    <row r="202" spans="1:5" x14ac:dyDescent="0.2">
      <c r="A202" t="s">
        <v>220</v>
      </c>
      <c r="B202" t="s">
        <v>53</v>
      </c>
      <c r="C202">
        <v>1</v>
      </c>
      <c r="D202">
        <v>1</v>
      </c>
      <c r="E202">
        <v>20</v>
      </c>
    </row>
    <row r="203" spans="1:5" x14ac:dyDescent="0.2">
      <c r="A203" t="s">
        <v>221</v>
      </c>
      <c r="B203" t="s">
        <v>40</v>
      </c>
      <c r="C203">
        <v>0</v>
      </c>
      <c r="D203">
        <v>1</v>
      </c>
      <c r="E203">
        <v>40</v>
      </c>
    </row>
    <row r="204" spans="1:5" x14ac:dyDescent="0.2">
      <c r="A204" t="s">
        <v>222</v>
      </c>
      <c r="B204" t="s">
        <v>26</v>
      </c>
      <c r="C204">
        <v>0</v>
      </c>
      <c r="D204">
        <v>0</v>
      </c>
      <c r="E204">
        <v>70</v>
      </c>
    </row>
    <row r="205" spans="1:5" x14ac:dyDescent="0.2">
      <c r="A205" t="s">
        <v>223</v>
      </c>
      <c r="B205" t="s">
        <v>8</v>
      </c>
      <c r="C205">
        <v>1</v>
      </c>
      <c r="D205">
        <v>1</v>
      </c>
      <c r="E205">
        <v>4</v>
      </c>
    </row>
    <row r="206" spans="1:5" x14ac:dyDescent="0.2">
      <c r="A206" t="s">
        <v>224</v>
      </c>
      <c r="B206" t="s">
        <v>37</v>
      </c>
      <c r="C206">
        <v>0</v>
      </c>
      <c r="D206">
        <v>0</v>
      </c>
      <c r="E206">
        <v>20</v>
      </c>
    </row>
    <row r="207" spans="1:5" x14ac:dyDescent="0.2">
      <c r="A207" t="s">
        <v>225</v>
      </c>
      <c r="B207" t="s">
        <v>15</v>
      </c>
      <c r="C207">
        <v>1</v>
      </c>
      <c r="D207">
        <v>1</v>
      </c>
      <c r="E207">
        <v>10</v>
      </c>
    </row>
    <row r="208" spans="1:5" x14ac:dyDescent="0.2">
      <c r="A208" t="s">
        <v>226</v>
      </c>
      <c r="B208" t="s">
        <v>40</v>
      </c>
      <c r="C208">
        <v>0</v>
      </c>
      <c r="D208">
        <v>0</v>
      </c>
      <c r="E208">
        <v>70</v>
      </c>
    </row>
    <row r="209" spans="1:5" x14ac:dyDescent="0.2">
      <c r="A209" t="s">
        <v>227</v>
      </c>
      <c r="B209" t="s">
        <v>46</v>
      </c>
      <c r="C209">
        <v>1</v>
      </c>
      <c r="D209">
        <v>1</v>
      </c>
      <c r="E209">
        <v>70</v>
      </c>
    </row>
    <row r="210" spans="1:5" x14ac:dyDescent="0.2">
      <c r="A210" t="s">
        <v>228</v>
      </c>
      <c r="B210" t="s">
        <v>40</v>
      </c>
      <c r="C210">
        <v>1</v>
      </c>
      <c r="D210">
        <v>1</v>
      </c>
      <c r="E210">
        <v>10</v>
      </c>
    </row>
    <row r="211" spans="1:5" x14ac:dyDescent="0.2">
      <c r="A211" t="s">
        <v>229</v>
      </c>
      <c r="B211" t="s">
        <v>6</v>
      </c>
      <c r="C211">
        <v>0</v>
      </c>
      <c r="D211">
        <v>0</v>
      </c>
      <c r="E211">
        <v>20</v>
      </c>
    </row>
    <row r="212" spans="1:5" x14ac:dyDescent="0.2">
      <c r="A212" t="s">
        <v>230</v>
      </c>
      <c r="B212" t="s">
        <v>61</v>
      </c>
      <c r="C212">
        <v>0</v>
      </c>
      <c r="D212">
        <v>1</v>
      </c>
      <c r="E212">
        <v>20</v>
      </c>
    </row>
    <row r="213" spans="1:5" x14ac:dyDescent="0.2">
      <c r="A213" t="s">
        <v>231</v>
      </c>
      <c r="B213" t="s">
        <v>61</v>
      </c>
      <c r="C213">
        <v>1</v>
      </c>
      <c r="D213">
        <v>1</v>
      </c>
      <c r="E213">
        <v>10</v>
      </c>
    </row>
    <row r="214" spans="1:5" x14ac:dyDescent="0.2">
      <c r="A214" t="s">
        <v>232</v>
      </c>
      <c r="B214" t="s">
        <v>37</v>
      </c>
      <c r="C214">
        <v>0</v>
      </c>
      <c r="D214">
        <v>0</v>
      </c>
      <c r="E214">
        <v>70</v>
      </c>
    </row>
    <row r="215" spans="1:5" x14ac:dyDescent="0.2">
      <c r="A215" t="s">
        <v>233</v>
      </c>
      <c r="B215" t="s">
        <v>11</v>
      </c>
      <c r="C215">
        <v>1</v>
      </c>
      <c r="D215">
        <v>0</v>
      </c>
      <c r="E215">
        <v>10</v>
      </c>
    </row>
    <row r="216" spans="1:5" x14ac:dyDescent="0.2">
      <c r="A216" t="s">
        <v>234</v>
      </c>
      <c r="B216" t="s">
        <v>28</v>
      </c>
      <c r="C216">
        <v>0</v>
      </c>
      <c r="D216">
        <v>0</v>
      </c>
      <c r="E216">
        <v>4</v>
      </c>
    </row>
    <row r="217" spans="1:5" x14ac:dyDescent="0.2">
      <c r="A217" t="s">
        <v>235</v>
      </c>
      <c r="B217" t="s">
        <v>13</v>
      </c>
      <c r="C217">
        <v>0</v>
      </c>
      <c r="D217">
        <v>0</v>
      </c>
      <c r="E217">
        <v>10</v>
      </c>
    </row>
    <row r="218" spans="1:5" x14ac:dyDescent="0.2">
      <c r="A218" t="s">
        <v>236</v>
      </c>
      <c r="B218" t="s">
        <v>15</v>
      </c>
      <c r="C218">
        <v>0</v>
      </c>
      <c r="D218">
        <v>0</v>
      </c>
      <c r="E218">
        <v>70</v>
      </c>
    </row>
    <row r="219" spans="1:5" x14ac:dyDescent="0.2">
      <c r="A219" t="s">
        <v>237</v>
      </c>
      <c r="B219" t="s">
        <v>28</v>
      </c>
      <c r="C219">
        <v>1</v>
      </c>
      <c r="D219">
        <v>1</v>
      </c>
      <c r="E219">
        <v>4</v>
      </c>
    </row>
    <row r="220" spans="1:5" x14ac:dyDescent="0.2">
      <c r="A220" t="s">
        <v>238</v>
      </c>
      <c r="B220" t="s">
        <v>6</v>
      </c>
      <c r="C220">
        <v>1</v>
      </c>
      <c r="D220">
        <v>1</v>
      </c>
      <c r="E220">
        <v>20</v>
      </c>
    </row>
    <row r="221" spans="1:5" x14ac:dyDescent="0.2">
      <c r="A221" t="s">
        <v>239</v>
      </c>
      <c r="B221" t="s">
        <v>19</v>
      </c>
      <c r="C221">
        <v>1</v>
      </c>
      <c r="D221">
        <v>1</v>
      </c>
      <c r="E221">
        <v>4</v>
      </c>
    </row>
    <row r="222" spans="1:5" x14ac:dyDescent="0.2">
      <c r="A222" t="s">
        <v>240</v>
      </c>
      <c r="B222" t="s">
        <v>28</v>
      </c>
      <c r="C222">
        <v>0</v>
      </c>
      <c r="D222">
        <v>1</v>
      </c>
      <c r="E222">
        <v>10</v>
      </c>
    </row>
    <row r="223" spans="1:5" x14ac:dyDescent="0.2">
      <c r="A223" t="s">
        <v>241</v>
      </c>
      <c r="B223" t="s">
        <v>53</v>
      </c>
      <c r="C223">
        <v>1</v>
      </c>
      <c r="D223">
        <v>1</v>
      </c>
      <c r="E223">
        <v>70</v>
      </c>
    </row>
    <row r="224" spans="1:5" x14ac:dyDescent="0.2">
      <c r="A224" t="s">
        <v>242</v>
      </c>
      <c r="B224" t="s">
        <v>37</v>
      </c>
      <c r="C224">
        <v>1</v>
      </c>
      <c r="D224">
        <v>1</v>
      </c>
      <c r="E224">
        <v>40</v>
      </c>
    </row>
    <row r="225" spans="1:5" x14ac:dyDescent="0.2">
      <c r="A225" t="s">
        <v>243</v>
      </c>
      <c r="B225" t="s">
        <v>13</v>
      </c>
      <c r="C225">
        <v>0</v>
      </c>
      <c r="D225">
        <v>0</v>
      </c>
      <c r="E225">
        <v>70</v>
      </c>
    </row>
    <row r="226" spans="1:5" x14ac:dyDescent="0.2">
      <c r="A226" t="s">
        <v>244</v>
      </c>
      <c r="B226" t="s">
        <v>53</v>
      </c>
      <c r="C226">
        <v>0</v>
      </c>
      <c r="D226">
        <v>0</v>
      </c>
      <c r="E226">
        <v>40</v>
      </c>
    </row>
    <row r="227" spans="1:5" x14ac:dyDescent="0.2">
      <c r="A227" t="s">
        <v>245</v>
      </c>
      <c r="B227" t="s">
        <v>28</v>
      </c>
      <c r="C227">
        <v>0</v>
      </c>
      <c r="D227">
        <v>1</v>
      </c>
      <c r="E227">
        <v>40</v>
      </c>
    </row>
    <row r="228" spans="1:5" x14ac:dyDescent="0.2">
      <c r="A228" t="s">
        <v>246</v>
      </c>
      <c r="B228" t="s">
        <v>53</v>
      </c>
      <c r="C228">
        <v>0</v>
      </c>
      <c r="D228">
        <v>1</v>
      </c>
      <c r="E228">
        <v>40</v>
      </c>
    </row>
    <row r="229" spans="1:5" x14ac:dyDescent="0.2">
      <c r="A229" t="s">
        <v>247</v>
      </c>
      <c r="B229" t="s">
        <v>11</v>
      </c>
      <c r="C229">
        <v>1</v>
      </c>
      <c r="D229">
        <v>1</v>
      </c>
      <c r="E229">
        <v>70</v>
      </c>
    </row>
    <row r="230" spans="1:5" x14ac:dyDescent="0.2">
      <c r="A230" t="s">
        <v>248</v>
      </c>
      <c r="B230" t="s">
        <v>46</v>
      </c>
      <c r="C230">
        <v>0</v>
      </c>
      <c r="D230">
        <v>1</v>
      </c>
      <c r="E230">
        <v>70</v>
      </c>
    </row>
    <row r="231" spans="1:5" x14ac:dyDescent="0.2">
      <c r="A231" t="s">
        <v>249</v>
      </c>
      <c r="B231" t="s">
        <v>46</v>
      </c>
      <c r="C231">
        <v>0</v>
      </c>
      <c r="D231">
        <v>0</v>
      </c>
      <c r="E231">
        <v>40</v>
      </c>
    </row>
    <row r="232" spans="1:5" x14ac:dyDescent="0.2">
      <c r="A232" t="s">
        <v>250</v>
      </c>
      <c r="B232" t="s">
        <v>28</v>
      </c>
      <c r="C232">
        <v>0</v>
      </c>
      <c r="D232">
        <v>1</v>
      </c>
      <c r="E232">
        <v>4</v>
      </c>
    </row>
    <row r="233" spans="1:5" x14ac:dyDescent="0.2">
      <c r="A233" t="s">
        <v>251</v>
      </c>
      <c r="B233" t="s">
        <v>40</v>
      </c>
      <c r="C233">
        <v>1</v>
      </c>
      <c r="D233">
        <v>1</v>
      </c>
      <c r="E233">
        <v>4</v>
      </c>
    </row>
    <row r="234" spans="1:5" x14ac:dyDescent="0.2">
      <c r="A234" t="s">
        <v>252</v>
      </c>
      <c r="B234" t="s">
        <v>26</v>
      </c>
      <c r="C234">
        <v>0</v>
      </c>
      <c r="D234">
        <v>0</v>
      </c>
      <c r="E234">
        <v>70</v>
      </c>
    </row>
    <row r="235" spans="1:5" x14ac:dyDescent="0.2">
      <c r="A235" t="s">
        <v>253</v>
      </c>
      <c r="B235" t="s">
        <v>11</v>
      </c>
      <c r="C235">
        <v>0</v>
      </c>
      <c r="D235">
        <v>1</v>
      </c>
      <c r="E235">
        <v>4</v>
      </c>
    </row>
    <row r="236" spans="1:5" x14ac:dyDescent="0.2">
      <c r="A236" t="s">
        <v>254</v>
      </c>
      <c r="B236" t="s">
        <v>46</v>
      </c>
      <c r="C236">
        <v>0</v>
      </c>
      <c r="D236">
        <v>1</v>
      </c>
      <c r="E236">
        <v>40</v>
      </c>
    </row>
    <row r="237" spans="1:5" x14ac:dyDescent="0.2">
      <c r="A237" t="s">
        <v>255</v>
      </c>
      <c r="B237" t="s">
        <v>6</v>
      </c>
      <c r="C237">
        <v>0</v>
      </c>
      <c r="D237">
        <v>0</v>
      </c>
      <c r="E237">
        <v>4</v>
      </c>
    </row>
    <row r="238" spans="1:5" x14ac:dyDescent="0.2">
      <c r="A238" t="s">
        <v>256</v>
      </c>
      <c r="B238" t="s">
        <v>23</v>
      </c>
      <c r="C238">
        <v>1</v>
      </c>
      <c r="D238">
        <v>1</v>
      </c>
      <c r="E238">
        <v>70</v>
      </c>
    </row>
    <row r="239" spans="1:5" x14ac:dyDescent="0.2">
      <c r="A239" t="s">
        <v>257</v>
      </c>
      <c r="B239" t="s">
        <v>6</v>
      </c>
      <c r="C239">
        <v>1</v>
      </c>
      <c r="D239">
        <v>0</v>
      </c>
      <c r="E239">
        <v>10</v>
      </c>
    </row>
    <row r="240" spans="1:5" x14ac:dyDescent="0.2">
      <c r="A240" t="s">
        <v>258</v>
      </c>
      <c r="B240" t="s">
        <v>8</v>
      </c>
      <c r="C240">
        <v>0</v>
      </c>
      <c r="D240">
        <v>0</v>
      </c>
      <c r="E240">
        <v>70</v>
      </c>
    </row>
    <row r="241" spans="1:5" x14ac:dyDescent="0.2">
      <c r="A241" t="s">
        <v>259</v>
      </c>
      <c r="B241" t="s">
        <v>8</v>
      </c>
      <c r="C241">
        <v>0</v>
      </c>
      <c r="D241">
        <v>0</v>
      </c>
      <c r="E241">
        <v>10</v>
      </c>
    </row>
    <row r="242" spans="1:5" x14ac:dyDescent="0.2">
      <c r="A242" t="s">
        <v>260</v>
      </c>
      <c r="B242" t="s">
        <v>61</v>
      </c>
      <c r="C242">
        <v>1</v>
      </c>
      <c r="D242">
        <v>1</v>
      </c>
      <c r="E242">
        <v>20</v>
      </c>
    </row>
    <row r="243" spans="1:5" x14ac:dyDescent="0.2">
      <c r="A243" t="s">
        <v>261</v>
      </c>
      <c r="B243" t="s">
        <v>61</v>
      </c>
      <c r="C243">
        <v>1</v>
      </c>
      <c r="D243">
        <v>1</v>
      </c>
      <c r="E243">
        <v>20</v>
      </c>
    </row>
    <row r="244" spans="1:5" x14ac:dyDescent="0.2">
      <c r="A244" t="s">
        <v>262</v>
      </c>
      <c r="B244" t="s">
        <v>46</v>
      </c>
      <c r="C244">
        <v>1</v>
      </c>
      <c r="D244">
        <v>0</v>
      </c>
      <c r="E244">
        <v>20</v>
      </c>
    </row>
    <row r="245" spans="1:5" x14ac:dyDescent="0.2">
      <c r="A245" t="s">
        <v>263</v>
      </c>
      <c r="B245" t="s">
        <v>37</v>
      </c>
      <c r="C245">
        <v>0</v>
      </c>
      <c r="D245">
        <v>0</v>
      </c>
      <c r="E245">
        <v>20</v>
      </c>
    </row>
    <row r="246" spans="1:5" x14ac:dyDescent="0.2">
      <c r="A246" t="s">
        <v>264</v>
      </c>
      <c r="B246" t="s">
        <v>15</v>
      </c>
      <c r="C246">
        <v>1</v>
      </c>
      <c r="D246">
        <v>1</v>
      </c>
      <c r="E246">
        <v>20</v>
      </c>
    </row>
    <row r="247" spans="1:5" x14ac:dyDescent="0.2">
      <c r="A247" t="s">
        <v>265</v>
      </c>
      <c r="B247" t="s">
        <v>26</v>
      </c>
      <c r="C247">
        <v>0</v>
      </c>
      <c r="D247">
        <v>0</v>
      </c>
      <c r="E247">
        <v>40</v>
      </c>
    </row>
    <row r="248" spans="1:5" x14ac:dyDescent="0.2">
      <c r="A248" t="s">
        <v>266</v>
      </c>
      <c r="B248" t="s">
        <v>28</v>
      </c>
      <c r="C248">
        <v>1</v>
      </c>
      <c r="D248">
        <v>0</v>
      </c>
      <c r="E248">
        <v>4</v>
      </c>
    </row>
    <row r="249" spans="1:5" x14ac:dyDescent="0.2">
      <c r="A249" t="s">
        <v>267</v>
      </c>
      <c r="B249" t="s">
        <v>8</v>
      </c>
      <c r="C249">
        <v>0</v>
      </c>
      <c r="D249">
        <v>1</v>
      </c>
      <c r="E249">
        <v>10</v>
      </c>
    </row>
    <row r="250" spans="1:5" x14ac:dyDescent="0.2">
      <c r="A250" t="s">
        <v>268</v>
      </c>
      <c r="B250" t="s">
        <v>6</v>
      </c>
      <c r="C250">
        <v>1</v>
      </c>
      <c r="D250">
        <v>0</v>
      </c>
      <c r="E250">
        <v>70</v>
      </c>
    </row>
    <row r="251" spans="1:5" x14ac:dyDescent="0.2">
      <c r="A251" t="s">
        <v>269</v>
      </c>
      <c r="B251" t="s">
        <v>19</v>
      </c>
      <c r="C251">
        <v>1</v>
      </c>
      <c r="D251">
        <v>0</v>
      </c>
      <c r="E251">
        <v>20</v>
      </c>
    </row>
    <row r="252" spans="1:5" x14ac:dyDescent="0.2">
      <c r="A252" t="s">
        <v>270</v>
      </c>
      <c r="B252" t="s">
        <v>19</v>
      </c>
      <c r="C252">
        <v>0</v>
      </c>
      <c r="D252">
        <v>0</v>
      </c>
      <c r="E252">
        <v>70</v>
      </c>
    </row>
    <row r="253" spans="1:5" x14ac:dyDescent="0.2">
      <c r="A253" t="s">
        <v>271</v>
      </c>
      <c r="B253" t="s">
        <v>6</v>
      </c>
      <c r="C253">
        <v>1</v>
      </c>
      <c r="D253">
        <v>0</v>
      </c>
      <c r="E253">
        <v>40</v>
      </c>
    </row>
    <row r="254" spans="1:5" x14ac:dyDescent="0.2">
      <c r="A254" t="s">
        <v>272</v>
      </c>
      <c r="B254" t="s">
        <v>19</v>
      </c>
      <c r="C254">
        <v>1</v>
      </c>
      <c r="D254">
        <v>1</v>
      </c>
      <c r="E254">
        <v>40</v>
      </c>
    </row>
    <row r="255" spans="1:5" x14ac:dyDescent="0.2">
      <c r="A255" t="s">
        <v>273</v>
      </c>
      <c r="B255" t="s">
        <v>19</v>
      </c>
      <c r="C255">
        <v>0</v>
      </c>
      <c r="D255">
        <v>0</v>
      </c>
      <c r="E255">
        <v>20</v>
      </c>
    </row>
    <row r="256" spans="1:5" x14ac:dyDescent="0.2">
      <c r="A256" t="s">
        <v>274</v>
      </c>
      <c r="B256" t="s">
        <v>19</v>
      </c>
      <c r="C256">
        <v>0</v>
      </c>
      <c r="D256">
        <v>1</v>
      </c>
      <c r="E256">
        <v>4</v>
      </c>
    </row>
    <row r="257" spans="1:5" x14ac:dyDescent="0.2">
      <c r="A257" t="s">
        <v>275</v>
      </c>
      <c r="B257" t="s">
        <v>61</v>
      </c>
      <c r="C257">
        <v>1</v>
      </c>
      <c r="D257">
        <v>1</v>
      </c>
      <c r="E257">
        <v>10</v>
      </c>
    </row>
    <row r="258" spans="1:5" x14ac:dyDescent="0.2">
      <c r="A258" t="s">
        <v>276</v>
      </c>
      <c r="B258" t="s">
        <v>13</v>
      </c>
      <c r="C258">
        <v>1</v>
      </c>
      <c r="D258">
        <v>1</v>
      </c>
      <c r="E258">
        <v>40</v>
      </c>
    </row>
    <row r="259" spans="1:5" x14ac:dyDescent="0.2">
      <c r="A259" t="s">
        <v>277</v>
      </c>
      <c r="B259" t="s">
        <v>37</v>
      </c>
      <c r="C259">
        <v>1</v>
      </c>
      <c r="D259">
        <v>1</v>
      </c>
      <c r="E259">
        <v>4</v>
      </c>
    </row>
    <row r="260" spans="1:5" x14ac:dyDescent="0.2">
      <c r="A260" t="s">
        <v>278</v>
      </c>
      <c r="B260" t="s">
        <v>40</v>
      </c>
      <c r="C260">
        <v>0</v>
      </c>
      <c r="D260">
        <v>1</v>
      </c>
      <c r="E260">
        <v>70</v>
      </c>
    </row>
    <row r="261" spans="1:5" x14ac:dyDescent="0.2">
      <c r="A261" t="s">
        <v>279</v>
      </c>
      <c r="B261" t="s">
        <v>8</v>
      </c>
      <c r="C261">
        <v>1</v>
      </c>
      <c r="D261">
        <v>0</v>
      </c>
      <c r="E261">
        <v>20</v>
      </c>
    </row>
    <row r="262" spans="1:5" x14ac:dyDescent="0.2">
      <c r="A262" t="s">
        <v>280</v>
      </c>
      <c r="B262" t="s">
        <v>11</v>
      </c>
      <c r="C262">
        <v>0</v>
      </c>
      <c r="D262">
        <v>0</v>
      </c>
      <c r="E262">
        <v>4</v>
      </c>
    </row>
    <row r="263" spans="1:5" x14ac:dyDescent="0.2">
      <c r="A263" t="s">
        <v>281</v>
      </c>
      <c r="B263" t="s">
        <v>17</v>
      </c>
      <c r="C263">
        <v>0</v>
      </c>
      <c r="D263">
        <v>1</v>
      </c>
      <c r="E263">
        <v>20</v>
      </c>
    </row>
    <row r="264" spans="1:5" x14ac:dyDescent="0.2">
      <c r="A264" t="s">
        <v>282</v>
      </c>
      <c r="B264" t="s">
        <v>17</v>
      </c>
      <c r="C264">
        <v>1</v>
      </c>
      <c r="D264">
        <v>0</v>
      </c>
      <c r="E264">
        <v>10</v>
      </c>
    </row>
    <row r="265" spans="1:5" x14ac:dyDescent="0.2">
      <c r="A265" t="s">
        <v>283</v>
      </c>
      <c r="B265" t="s">
        <v>8</v>
      </c>
      <c r="C265">
        <v>1</v>
      </c>
      <c r="D265">
        <v>0</v>
      </c>
      <c r="E265">
        <v>20</v>
      </c>
    </row>
    <row r="266" spans="1:5" x14ac:dyDescent="0.2">
      <c r="A266" t="s">
        <v>284</v>
      </c>
      <c r="B266" t="s">
        <v>26</v>
      </c>
      <c r="C266">
        <v>1</v>
      </c>
      <c r="D266">
        <v>1</v>
      </c>
      <c r="E266">
        <v>20</v>
      </c>
    </row>
    <row r="267" spans="1:5" x14ac:dyDescent="0.2">
      <c r="A267" t="s">
        <v>285</v>
      </c>
      <c r="B267" t="s">
        <v>26</v>
      </c>
      <c r="C267">
        <v>0</v>
      </c>
      <c r="D267">
        <v>1</v>
      </c>
      <c r="E267">
        <v>4</v>
      </c>
    </row>
    <row r="268" spans="1:5" x14ac:dyDescent="0.2">
      <c r="A268" t="s">
        <v>286</v>
      </c>
      <c r="B268" t="s">
        <v>61</v>
      </c>
      <c r="C268">
        <v>0</v>
      </c>
      <c r="D268">
        <v>1</v>
      </c>
      <c r="E268">
        <v>70</v>
      </c>
    </row>
    <row r="269" spans="1:5" x14ac:dyDescent="0.2">
      <c r="A269" t="s">
        <v>287</v>
      </c>
      <c r="B269" t="s">
        <v>11</v>
      </c>
      <c r="C269">
        <v>0</v>
      </c>
      <c r="D269">
        <v>1</v>
      </c>
      <c r="E269">
        <v>20</v>
      </c>
    </row>
    <row r="270" spans="1:5" x14ac:dyDescent="0.2">
      <c r="A270" t="s">
        <v>288</v>
      </c>
      <c r="B270" t="s">
        <v>40</v>
      </c>
      <c r="C270">
        <v>0</v>
      </c>
      <c r="D270">
        <v>0</v>
      </c>
      <c r="E270">
        <v>70</v>
      </c>
    </row>
    <row r="271" spans="1:5" x14ac:dyDescent="0.2">
      <c r="A271" t="s">
        <v>289</v>
      </c>
      <c r="B271" t="s">
        <v>15</v>
      </c>
      <c r="C271">
        <v>0</v>
      </c>
      <c r="D271">
        <v>0</v>
      </c>
      <c r="E271">
        <v>40</v>
      </c>
    </row>
    <row r="272" spans="1:5" x14ac:dyDescent="0.2">
      <c r="A272" t="s">
        <v>290</v>
      </c>
      <c r="B272" t="s">
        <v>19</v>
      </c>
      <c r="C272">
        <v>0</v>
      </c>
      <c r="D272">
        <v>1</v>
      </c>
      <c r="E272">
        <v>70</v>
      </c>
    </row>
    <row r="273" spans="1:5" x14ac:dyDescent="0.2">
      <c r="A273" t="s">
        <v>291</v>
      </c>
      <c r="B273" t="s">
        <v>15</v>
      </c>
      <c r="C273">
        <v>1</v>
      </c>
      <c r="D273">
        <v>1</v>
      </c>
      <c r="E273">
        <v>4</v>
      </c>
    </row>
    <row r="274" spans="1:5" x14ac:dyDescent="0.2">
      <c r="A274" t="s">
        <v>292</v>
      </c>
      <c r="B274" t="s">
        <v>23</v>
      </c>
      <c r="C274">
        <v>0</v>
      </c>
      <c r="D274">
        <v>0</v>
      </c>
      <c r="E274">
        <v>40</v>
      </c>
    </row>
    <row r="275" spans="1:5" x14ac:dyDescent="0.2">
      <c r="A275" t="s">
        <v>293</v>
      </c>
      <c r="B275" t="s">
        <v>8</v>
      </c>
      <c r="C275">
        <v>0</v>
      </c>
      <c r="D275">
        <v>0</v>
      </c>
      <c r="E275">
        <v>40</v>
      </c>
    </row>
    <row r="276" spans="1:5" x14ac:dyDescent="0.2">
      <c r="A276" t="s">
        <v>294</v>
      </c>
      <c r="B276" t="s">
        <v>8</v>
      </c>
      <c r="C276">
        <v>0</v>
      </c>
      <c r="D276">
        <v>1</v>
      </c>
      <c r="E276">
        <v>40</v>
      </c>
    </row>
    <row r="277" spans="1:5" x14ac:dyDescent="0.2">
      <c r="A277" t="s">
        <v>295</v>
      </c>
      <c r="B277" t="s">
        <v>46</v>
      </c>
      <c r="C277">
        <v>1</v>
      </c>
      <c r="D277">
        <v>0</v>
      </c>
      <c r="E277">
        <v>70</v>
      </c>
    </row>
    <row r="278" spans="1:5" x14ac:dyDescent="0.2">
      <c r="A278" t="s">
        <v>296</v>
      </c>
      <c r="B278" t="s">
        <v>26</v>
      </c>
      <c r="C278">
        <v>1</v>
      </c>
      <c r="D278">
        <v>1</v>
      </c>
      <c r="E278">
        <v>20</v>
      </c>
    </row>
    <row r="279" spans="1:5" x14ac:dyDescent="0.2">
      <c r="A279" t="s">
        <v>297</v>
      </c>
      <c r="B279" t="s">
        <v>46</v>
      </c>
      <c r="C279">
        <v>1</v>
      </c>
      <c r="D279">
        <v>1</v>
      </c>
      <c r="E279">
        <v>10</v>
      </c>
    </row>
    <row r="280" spans="1:5" x14ac:dyDescent="0.2">
      <c r="A280" t="s">
        <v>298</v>
      </c>
      <c r="B280" t="s">
        <v>6</v>
      </c>
      <c r="C280">
        <v>0</v>
      </c>
      <c r="D280">
        <v>1</v>
      </c>
      <c r="E280">
        <v>10</v>
      </c>
    </row>
    <row r="281" spans="1:5" x14ac:dyDescent="0.2">
      <c r="A281" t="s">
        <v>299</v>
      </c>
      <c r="B281" t="s">
        <v>17</v>
      </c>
      <c r="C281">
        <v>1</v>
      </c>
      <c r="D281">
        <v>1</v>
      </c>
      <c r="E281">
        <v>20</v>
      </c>
    </row>
    <row r="282" spans="1:5" x14ac:dyDescent="0.2">
      <c r="A282" t="s">
        <v>300</v>
      </c>
      <c r="B282" t="s">
        <v>17</v>
      </c>
      <c r="C282">
        <v>0</v>
      </c>
      <c r="D282">
        <v>1</v>
      </c>
      <c r="E282">
        <v>4</v>
      </c>
    </row>
    <row r="283" spans="1:5" x14ac:dyDescent="0.2">
      <c r="A283" t="s">
        <v>301</v>
      </c>
      <c r="B283" t="s">
        <v>40</v>
      </c>
      <c r="C283">
        <v>1</v>
      </c>
      <c r="D283">
        <v>1</v>
      </c>
      <c r="E283">
        <v>20</v>
      </c>
    </row>
    <row r="284" spans="1:5" x14ac:dyDescent="0.2">
      <c r="A284" t="s">
        <v>302</v>
      </c>
      <c r="B284" t="s">
        <v>13</v>
      </c>
      <c r="C284">
        <v>0</v>
      </c>
      <c r="D284">
        <v>1</v>
      </c>
      <c r="E284">
        <v>40</v>
      </c>
    </row>
    <row r="285" spans="1:5" x14ac:dyDescent="0.2">
      <c r="A285" t="s">
        <v>303</v>
      </c>
      <c r="B285" t="s">
        <v>11</v>
      </c>
      <c r="C285">
        <v>1</v>
      </c>
      <c r="D285">
        <v>0</v>
      </c>
      <c r="E285">
        <v>20</v>
      </c>
    </row>
    <row r="286" spans="1:5" x14ac:dyDescent="0.2">
      <c r="A286" t="s">
        <v>304</v>
      </c>
      <c r="B286" t="s">
        <v>61</v>
      </c>
      <c r="C286">
        <v>1</v>
      </c>
      <c r="D286">
        <v>1</v>
      </c>
      <c r="E286">
        <v>40</v>
      </c>
    </row>
    <row r="287" spans="1:5" x14ac:dyDescent="0.2">
      <c r="A287" t="s">
        <v>305</v>
      </c>
      <c r="B287" t="s">
        <v>11</v>
      </c>
      <c r="C287">
        <v>0</v>
      </c>
      <c r="D287">
        <v>0</v>
      </c>
      <c r="E287">
        <v>10</v>
      </c>
    </row>
    <row r="288" spans="1:5" x14ac:dyDescent="0.2">
      <c r="A288" t="s">
        <v>306</v>
      </c>
      <c r="B288" t="s">
        <v>8</v>
      </c>
      <c r="C288">
        <v>0</v>
      </c>
      <c r="D288">
        <v>1</v>
      </c>
      <c r="E288">
        <v>4</v>
      </c>
    </row>
    <row r="289" spans="1:5" x14ac:dyDescent="0.2">
      <c r="A289" t="s">
        <v>307</v>
      </c>
      <c r="B289" t="s">
        <v>13</v>
      </c>
      <c r="C289">
        <v>0</v>
      </c>
      <c r="D289">
        <v>1</v>
      </c>
      <c r="E289">
        <v>20</v>
      </c>
    </row>
    <row r="290" spans="1:5" x14ac:dyDescent="0.2">
      <c r="A290" t="s">
        <v>308</v>
      </c>
      <c r="B290" t="s">
        <v>26</v>
      </c>
      <c r="C290">
        <v>1</v>
      </c>
      <c r="D290">
        <v>1</v>
      </c>
      <c r="E290">
        <v>10</v>
      </c>
    </row>
    <row r="291" spans="1:5" x14ac:dyDescent="0.2">
      <c r="A291" t="s">
        <v>309</v>
      </c>
      <c r="B291" t="s">
        <v>11</v>
      </c>
      <c r="C291">
        <v>1</v>
      </c>
      <c r="D291">
        <v>1</v>
      </c>
      <c r="E291">
        <v>4</v>
      </c>
    </row>
    <row r="292" spans="1:5" x14ac:dyDescent="0.2">
      <c r="A292" t="s">
        <v>310</v>
      </c>
      <c r="B292" t="s">
        <v>53</v>
      </c>
      <c r="C292">
        <v>1</v>
      </c>
      <c r="D292">
        <v>1</v>
      </c>
      <c r="E292">
        <v>10</v>
      </c>
    </row>
    <row r="293" spans="1:5" x14ac:dyDescent="0.2">
      <c r="A293" t="s">
        <v>311</v>
      </c>
      <c r="B293" t="s">
        <v>23</v>
      </c>
      <c r="C293">
        <v>1</v>
      </c>
      <c r="D293">
        <v>0</v>
      </c>
      <c r="E293">
        <v>40</v>
      </c>
    </row>
    <row r="294" spans="1:5" x14ac:dyDescent="0.2">
      <c r="A294" t="s">
        <v>312</v>
      </c>
      <c r="B294" t="s">
        <v>6</v>
      </c>
      <c r="C294">
        <v>0</v>
      </c>
      <c r="D294">
        <v>1</v>
      </c>
      <c r="E294">
        <v>20</v>
      </c>
    </row>
    <row r="295" spans="1:5" x14ac:dyDescent="0.2">
      <c r="A295" t="s">
        <v>313</v>
      </c>
      <c r="B295" t="s">
        <v>28</v>
      </c>
      <c r="C295">
        <v>0</v>
      </c>
      <c r="D295">
        <v>0</v>
      </c>
      <c r="E295">
        <v>70</v>
      </c>
    </row>
    <row r="296" spans="1:5" x14ac:dyDescent="0.2">
      <c r="A296" t="s">
        <v>314</v>
      </c>
      <c r="B296" t="s">
        <v>46</v>
      </c>
      <c r="C296">
        <v>0</v>
      </c>
      <c r="D296">
        <v>1</v>
      </c>
      <c r="E296">
        <v>40</v>
      </c>
    </row>
    <row r="297" spans="1:5" x14ac:dyDescent="0.2">
      <c r="A297" t="s">
        <v>315</v>
      </c>
      <c r="B297" t="s">
        <v>13</v>
      </c>
      <c r="C297">
        <v>0</v>
      </c>
      <c r="D297">
        <v>0</v>
      </c>
      <c r="E297">
        <v>20</v>
      </c>
    </row>
    <row r="298" spans="1:5" x14ac:dyDescent="0.2">
      <c r="A298" t="s">
        <v>316</v>
      </c>
      <c r="B298" t="s">
        <v>6</v>
      </c>
      <c r="C298">
        <v>1</v>
      </c>
      <c r="D298">
        <v>1</v>
      </c>
      <c r="E298">
        <v>4</v>
      </c>
    </row>
    <row r="299" spans="1:5" x14ac:dyDescent="0.2">
      <c r="A299" t="s">
        <v>317</v>
      </c>
      <c r="B299" t="s">
        <v>17</v>
      </c>
      <c r="C299">
        <v>0</v>
      </c>
      <c r="D299">
        <v>0</v>
      </c>
      <c r="E299">
        <v>40</v>
      </c>
    </row>
    <row r="300" spans="1:5" x14ac:dyDescent="0.2">
      <c r="A300" t="s">
        <v>318</v>
      </c>
      <c r="B300" t="s">
        <v>19</v>
      </c>
      <c r="C300">
        <v>0</v>
      </c>
      <c r="D300">
        <v>0</v>
      </c>
      <c r="E300">
        <v>4</v>
      </c>
    </row>
    <row r="301" spans="1:5" x14ac:dyDescent="0.2">
      <c r="A301" t="s">
        <v>319</v>
      </c>
      <c r="B301" t="s">
        <v>6</v>
      </c>
      <c r="C301">
        <v>0</v>
      </c>
      <c r="D301">
        <v>0</v>
      </c>
      <c r="E301">
        <v>40</v>
      </c>
    </row>
    <row r="302" spans="1:5" x14ac:dyDescent="0.2">
      <c r="A302" t="s">
        <v>320</v>
      </c>
      <c r="B302" t="s">
        <v>15</v>
      </c>
      <c r="C302">
        <v>0</v>
      </c>
      <c r="D302">
        <v>0</v>
      </c>
      <c r="E302">
        <v>10</v>
      </c>
    </row>
    <row r="303" spans="1:5" x14ac:dyDescent="0.2">
      <c r="A303" t="s">
        <v>321</v>
      </c>
      <c r="B303" t="s">
        <v>8</v>
      </c>
      <c r="C303">
        <v>1</v>
      </c>
      <c r="D303">
        <v>1</v>
      </c>
      <c r="E303">
        <v>4</v>
      </c>
    </row>
    <row r="304" spans="1:5" x14ac:dyDescent="0.2">
      <c r="A304" t="s">
        <v>322</v>
      </c>
      <c r="B304" t="s">
        <v>46</v>
      </c>
      <c r="C304">
        <v>1</v>
      </c>
      <c r="D304">
        <v>0</v>
      </c>
      <c r="E304">
        <v>70</v>
      </c>
    </row>
    <row r="305" spans="1:5" x14ac:dyDescent="0.2">
      <c r="A305" t="s">
        <v>323</v>
      </c>
      <c r="B305" t="s">
        <v>23</v>
      </c>
      <c r="C305">
        <v>1</v>
      </c>
      <c r="D305">
        <v>1</v>
      </c>
      <c r="E305">
        <v>40</v>
      </c>
    </row>
    <row r="306" spans="1:5" x14ac:dyDescent="0.2">
      <c r="A306" t="s">
        <v>324</v>
      </c>
      <c r="B306" t="s">
        <v>8</v>
      </c>
      <c r="C306">
        <v>1</v>
      </c>
      <c r="D306">
        <v>1</v>
      </c>
      <c r="E306">
        <v>10</v>
      </c>
    </row>
    <row r="307" spans="1:5" x14ac:dyDescent="0.2">
      <c r="A307" t="s">
        <v>325</v>
      </c>
      <c r="B307" t="s">
        <v>40</v>
      </c>
      <c r="C307">
        <v>0</v>
      </c>
      <c r="D307">
        <v>0</v>
      </c>
      <c r="E307">
        <v>4</v>
      </c>
    </row>
    <row r="308" spans="1:5" x14ac:dyDescent="0.2">
      <c r="A308" t="s">
        <v>326</v>
      </c>
      <c r="B308" t="s">
        <v>53</v>
      </c>
      <c r="C308">
        <v>0</v>
      </c>
      <c r="D308">
        <v>1</v>
      </c>
      <c r="E308">
        <v>40</v>
      </c>
    </row>
    <row r="309" spans="1:5" x14ac:dyDescent="0.2">
      <c r="A309" t="s">
        <v>327</v>
      </c>
      <c r="B309" t="s">
        <v>11</v>
      </c>
      <c r="C309">
        <v>1</v>
      </c>
      <c r="D309">
        <v>1</v>
      </c>
      <c r="E309">
        <v>70</v>
      </c>
    </row>
    <row r="310" spans="1:5" x14ac:dyDescent="0.2">
      <c r="A310" t="s">
        <v>328</v>
      </c>
      <c r="B310" t="s">
        <v>17</v>
      </c>
      <c r="C310">
        <v>1</v>
      </c>
      <c r="D310">
        <v>1</v>
      </c>
      <c r="E310">
        <v>70</v>
      </c>
    </row>
    <row r="311" spans="1:5" x14ac:dyDescent="0.2">
      <c r="A311" t="s">
        <v>329</v>
      </c>
      <c r="B311" t="s">
        <v>13</v>
      </c>
      <c r="C311">
        <v>0</v>
      </c>
      <c r="D311">
        <v>0</v>
      </c>
      <c r="E311">
        <v>10</v>
      </c>
    </row>
    <row r="312" spans="1:5" x14ac:dyDescent="0.2">
      <c r="A312" t="s">
        <v>330</v>
      </c>
      <c r="B312" t="s">
        <v>11</v>
      </c>
      <c r="C312">
        <v>1</v>
      </c>
      <c r="D312">
        <v>1</v>
      </c>
      <c r="E312">
        <v>20</v>
      </c>
    </row>
    <row r="313" spans="1:5" x14ac:dyDescent="0.2">
      <c r="A313" t="s">
        <v>331</v>
      </c>
      <c r="B313" t="s">
        <v>15</v>
      </c>
      <c r="C313">
        <v>0</v>
      </c>
      <c r="D313">
        <v>1</v>
      </c>
      <c r="E313">
        <v>70</v>
      </c>
    </row>
    <row r="314" spans="1:5" x14ac:dyDescent="0.2">
      <c r="A314" t="s">
        <v>332</v>
      </c>
      <c r="B314" t="s">
        <v>40</v>
      </c>
      <c r="C314">
        <v>0</v>
      </c>
      <c r="D314">
        <v>0</v>
      </c>
      <c r="E314">
        <v>10</v>
      </c>
    </row>
    <row r="315" spans="1:5" x14ac:dyDescent="0.2">
      <c r="A315" t="s">
        <v>333</v>
      </c>
      <c r="B315" t="s">
        <v>13</v>
      </c>
      <c r="C315">
        <v>0</v>
      </c>
      <c r="D315">
        <v>1</v>
      </c>
      <c r="E315">
        <v>40</v>
      </c>
    </row>
    <row r="316" spans="1:5" x14ac:dyDescent="0.2">
      <c r="A316" t="s">
        <v>334</v>
      </c>
      <c r="B316" t="s">
        <v>8</v>
      </c>
      <c r="C316">
        <v>1</v>
      </c>
      <c r="D316">
        <v>1</v>
      </c>
      <c r="E316">
        <v>10</v>
      </c>
    </row>
    <row r="317" spans="1:5" x14ac:dyDescent="0.2">
      <c r="A317" t="s">
        <v>335</v>
      </c>
      <c r="B317" t="s">
        <v>19</v>
      </c>
      <c r="C317">
        <v>0</v>
      </c>
      <c r="D317">
        <v>1</v>
      </c>
      <c r="E317">
        <v>10</v>
      </c>
    </row>
    <row r="318" spans="1:5" x14ac:dyDescent="0.2">
      <c r="A318" t="s">
        <v>336</v>
      </c>
      <c r="B318" t="s">
        <v>15</v>
      </c>
      <c r="C318">
        <v>1</v>
      </c>
      <c r="D318">
        <v>1</v>
      </c>
      <c r="E318">
        <v>20</v>
      </c>
    </row>
    <row r="319" spans="1:5" x14ac:dyDescent="0.2">
      <c r="A319" t="s">
        <v>337</v>
      </c>
      <c r="B319" t="s">
        <v>37</v>
      </c>
      <c r="C319">
        <v>1</v>
      </c>
      <c r="D319">
        <v>1</v>
      </c>
      <c r="E319">
        <v>20</v>
      </c>
    </row>
    <row r="320" spans="1:5" x14ac:dyDescent="0.2">
      <c r="A320" t="s">
        <v>338</v>
      </c>
      <c r="B320" t="s">
        <v>15</v>
      </c>
      <c r="C320">
        <v>1</v>
      </c>
      <c r="D320">
        <v>0</v>
      </c>
      <c r="E320">
        <v>70</v>
      </c>
    </row>
    <row r="321" spans="1:5" x14ac:dyDescent="0.2">
      <c r="A321" t="s">
        <v>339</v>
      </c>
      <c r="B321" t="s">
        <v>26</v>
      </c>
      <c r="C321">
        <v>1</v>
      </c>
      <c r="D321">
        <v>1</v>
      </c>
      <c r="E321">
        <v>10</v>
      </c>
    </row>
    <row r="322" spans="1:5" x14ac:dyDescent="0.2">
      <c r="A322" t="s">
        <v>340</v>
      </c>
      <c r="B322" t="s">
        <v>53</v>
      </c>
      <c r="C322">
        <v>0</v>
      </c>
      <c r="D322">
        <v>0</v>
      </c>
      <c r="E322">
        <v>10</v>
      </c>
    </row>
    <row r="323" spans="1:5" x14ac:dyDescent="0.2">
      <c r="A323" t="s">
        <v>341</v>
      </c>
      <c r="B323" t="s">
        <v>15</v>
      </c>
      <c r="C323">
        <v>0</v>
      </c>
      <c r="D323">
        <v>1</v>
      </c>
      <c r="E323">
        <v>20</v>
      </c>
    </row>
    <row r="324" spans="1:5" x14ac:dyDescent="0.2">
      <c r="A324" t="s">
        <v>342</v>
      </c>
      <c r="B324" t="s">
        <v>28</v>
      </c>
      <c r="C324">
        <v>0</v>
      </c>
      <c r="D324">
        <v>0</v>
      </c>
      <c r="E324">
        <v>40</v>
      </c>
    </row>
    <row r="325" spans="1:5" x14ac:dyDescent="0.2">
      <c r="A325" t="s">
        <v>343</v>
      </c>
      <c r="B325" t="s">
        <v>13</v>
      </c>
      <c r="C325">
        <v>0</v>
      </c>
      <c r="D325">
        <v>1</v>
      </c>
      <c r="E325">
        <v>70</v>
      </c>
    </row>
    <row r="326" spans="1:5" x14ac:dyDescent="0.2">
      <c r="A326" t="s">
        <v>344</v>
      </c>
      <c r="B326" t="s">
        <v>6</v>
      </c>
      <c r="C326">
        <v>1</v>
      </c>
      <c r="D326">
        <v>1</v>
      </c>
      <c r="E326">
        <v>70</v>
      </c>
    </row>
    <row r="327" spans="1:5" x14ac:dyDescent="0.2">
      <c r="A327" t="s">
        <v>345</v>
      </c>
      <c r="B327" t="s">
        <v>26</v>
      </c>
      <c r="C327">
        <v>0</v>
      </c>
      <c r="D327">
        <v>1</v>
      </c>
      <c r="E327">
        <v>40</v>
      </c>
    </row>
    <row r="328" spans="1:5" x14ac:dyDescent="0.2">
      <c r="A328" t="s">
        <v>346</v>
      </c>
      <c r="B328" t="s">
        <v>11</v>
      </c>
      <c r="C328">
        <v>1</v>
      </c>
      <c r="D328">
        <v>1</v>
      </c>
      <c r="E328">
        <v>70</v>
      </c>
    </row>
    <row r="329" spans="1:5" x14ac:dyDescent="0.2">
      <c r="A329" t="s">
        <v>347</v>
      </c>
      <c r="B329" t="s">
        <v>11</v>
      </c>
      <c r="C329">
        <v>0</v>
      </c>
      <c r="D329">
        <v>0</v>
      </c>
      <c r="E329">
        <v>10</v>
      </c>
    </row>
    <row r="330" spans="1:5" x14ac:dyDescent="0.2">
      <c r="A330" t="s">
        <v>348</v>
      </c>
      <c r="B330" t="s">
        <v>53</v>
      </c>
      <c r="C330">
        <v>0</v>
      </c>
      <c r="D330">
        <v>1</v>
      </c>
      <c r="E330">
        <v>20</v>
      </c>
    </row>
    <row r="331" spans="1:5" x14ac:dyDescent="0.2">
      <c r="A331" t="s">
        <v>349</v>
      </c>
      <c r="B331" t="s">
        <v>15</v>
      </c>
      <c r="C331">
        <v>0</v>
      </c>
      <c r="D331">
        <v>1</v>
      </c>
      <c r="E331">
        <v>20</v>
      </c>
    </row>
    <row r="332" spans="1:5" x14ac:dyDescent="0.2">
      <c r="A332" t="s">
        <v>350</v>
      </c>
      <c r="B332" t="s">
        <v>46</v>
      </c>
      <c r="C332">
        <v>1</v>
      </c>
      <c r="D332">
        <v>1</v>
      </c>
      <c r="E332">
        <v>4</v>
      </c>
    </row>
    <row r="333" spans="1:5" x14ac:dyDescent="0.2">
      <c r="A333" t="s">
        <v>351</v>
      </c>
      <c r="B333" t="s">
        <v>17</v>
      </c>
      <c r="C333">
        <v>1</v>
      </c>
      <c r="D333">
        <v>1</v>
      </c>
      <c r="E333">
        <v>4</v>
      </c>
    </row>
    <row r="334" spans="1:5" x14ac:dyDescent="0.2">
      <c r="A334" t="s">
        <v>352</v>
      </c>
      <c r="B334" t="s">
        <v>17</v>
      </c>
      <c r="C334">
        <v>0</v>
      </c>
      <c r="D334">
        <v>1</v>
      </c>
      <c r="E334">
        <v>4</v>
      </c>
    </row>
    <row r="335" spans="1:5" x14ac:dyDescent="0.2">
      <c r="A335" t="s">
        <v>353</v>
      </c>
      <c r="B335" t="s">
        <v>19</v>
      </c>
      <c r="C335">
        <v>0</v>
      </c>
      <c r="D335">
        <v>0</v>
      </c>
      <c r="E335">
        <v>70</v>
      </c>
    </row>
    <row r="336" spans="1:5" x14ac:dyDescent="0.2">
      <c r="A336" t="s">
        <v>354</v>
      </c>
      <c r="B336" t="s">
        <v>8</v>
      </c>
      <c r="C336">
        <v>1</v>
      </c>
      <c r="D336">
        <v>1</v>
      </c>
      <c r="E336">
        <v>70</v>
      </c>
    </row>
    <row r="337" spans="1:5" x14ac:dyDescent="0.2">
      <c r="A337" t="s">
        <v>355</v>
      </c>
      <c r="B337" t="s">
        <v>61</v>
      </c>
      <c r="C337">
        <v>0</v>
      </c>
      <c r="D337">
        <v>1</v>
      </c>
      <c r="E337">
        <v>20</v>
      </c>
    </row>
    <row r="338" spans="1:5" x14ac:dyDescent="0.2">
      <c r="A338" t="s">
        <v>356</v>
      </c>
      <c r="B338" t="s">
        <v>53</v>
      </c>
      <c r="C338">
        <v>0</v>
      </c>
      <c r="D338">
        <v>1</v>
      </c>
      <c r="E338">
        <v>70</v>
      </c>
    </row>
    <row r="339" spans="1:5" x14ac:dyDescent="0.2">
      <c r="A339" t="s">
        <v>357</v>
      </c>
      <c r="B339" t="s">
        <v>17</v>
      </c>
      <c r="C339">
        <v>0</v>
      </c>
      <c r="D339">
        <v>0</v>
      </c>
      <c r="E339">
        <v>70</v>
      </c>
    </row>
    <row r="340" spans="1:5" x14ac:dyDescent="0.2">
      <c r="A340" t="s">
        <v>358</v>
      </c>
      <c r="B340" t="s">
        <v>17</v>
      </c>
      <c r="C340">
        <v>1</v>
      </c>
      <c r="D340">
        <v>1</v>
      </c>
      <c r="E340">
        <v>10</v>
      </c>
    </row>
    <row r="341" spans="1:5" x14ac:dyDescent="0.2">
      <c r="A341" t="s">
        <v>359</v>
      </c>
      <c r="B341" t="s">
        <v>6</v>
      </c>
      <c r="C341">
        <v>0</v>
      </c>
      <c r="D341">
        <v>1</v>
      </c>
      <c r="E341">
        <v>4</v>
      </c>
    </row>
    <row r="342" spans="1:5" x14ac:dyDescent="0.2">
      <c r="A342" t="s">
        <v>360</v>
      </c>
      <c r="B342" t="s">
        <v>46</v>
      </c>
      <c r="C342">
        <v>0</v>
      </c>
      <c r="D342">
        <v>1</v>
      </c>
      <c r="E342">
        <v>4</v>
      </c>
    </row>
    <row r="343" spans="1:5" x14ac:dyDescent="0.2">
      <c r="A343" t="s">
        <v>361</v>
      </c>
      <c r="B343" t="s">
        <v>19</v>
      </c>
      <c r="C343">
        <v>0</v>
      </c>
      <c r="D343">
        <v>1</v>
      </c>
      <c r="E343">
        <v>10</v>
      </c>
    </row>
    <row r="344" spans="1:5" x14ac:dyDescent="0.2">
      <c r="A344" t="s">
        <v>362</v>
      </c>
      <c r="B344" t="s">
        <v>46</v>
      </c>
      <c r="C344">
        <v>0</v>
      </c>
      <c r="D344">
        <v>1</v>
      </c>
      <c r="E344">
        <v>40</v>
      </c>
    </row>
    <row r="345" spans="1:5" x14ac:dyDescent="0.2">
      <c r="A345" t="s">
        <v>363</v>
      </c>
      <c r="B345" t="s">
        <v>61</v>
      </c>
      <c r="C345">
        <v>0</v>
      </c>
      <c r="D345">
        <v>1</v>
      </c>
      <c r="E345">
        <v>10</v>
      </c>
    </row>
    <row r="346" spans="1:5" x14ac:dyDescent="0.2">
      <c r="A346" t="s">
        <v>364</v>
      </c>
      <c r="B346" t="s">
        <v>11</v>
      </c>
      <c r="C346">
        <v>1</v>
      </c>
      <c r="D346">
        <v>1</v>
      </c>
      <c r="E346">
        <v>70</v>
      </c>
    </row>
    <row r="347" spans="1:5" x14ac:dyDescent="0.2">
      <c r="A347" t="s">
        <v>365</v>
      </c>
      <c r="B347" t="s">
        <v>46</v>
      </c>
      <c r="C347">
        <v>1</v>
      </c>
      <c r="D347">
        <v>0</v>
      </c>
      <c r="E347">
        <v>10</v>
      </c>
    </row>
    <row r="348" spans="1:5" x14ac:dyDescent="0.2">
      <c r="A348" t="s">
        <v>366</v>
      </c>
      <c r="B348" t="s">
        <v>17</v>
      </c>
      <c r="C348">
        <v>1</v>
      </c>
      <c r="D348">
        <v>1</v>
      </c>
      <c r="E348">
        <v>10</v>
      </c>
    </row>
    <row r="349" spans="1:5" x14ac:dyDescent="0.2">
      <c r="A349" t="s">
        <v>367</v>
      </c>
      <c r="B349" t="s">
        <v>28</v>
      </c>
      <c r="C349">
        <v>0</v>
      </c>
      <c r="D349">
        <v>1</v>
      </c>
      <c r="E349">
        <v>70</v>
      </c>
    </row>
    <row r="350" spans="1:5" x14ac:dyDescent="0.2">
      <c r="A350" t="s">
        <v>368</v>
      </c>
      <c r="B350" t="s">
        <v>40</v>
      </c>
      <c r="C350">
        <v>1</v>
      </c>
      <c r="D350">
        <v>1</v>
      </c>
      <c r="E350">
        <v>40</v>
      </c>
    </row>
    <row r="351" spans="1:5" x14ac:dyDescent="0.2">
      <c r="A351" t="s">
        <v>369</v>
      </c>
      <c r="B351" t="s">
        <v>23</v>
      </c>
      <c r="C351">
        <v>1</v>
      </c>
      <c r="D351">
        <v>0</v>
      </c>
      <c r="E351">
        <v>40</v>
      </c>
    </row>
    <row r="352" spans="1:5" x14ac:dyDescent="0.2">
      <c r="A352" t="s">
        <v>370</v>
      </c>
      <c r="B352" t="s">
        <v>13</v>
      </c>
      <c r="C352">
        <v>0</v>
      </c>
      <c r="D352">
        <v>1</v>
      </c>
      <c r="E352">
        <v>40</v>
      </c>
    </row>
    <row r="353" spans="1:5" x14ac:dyDescent="0.2">
      <c r="A353" t="s">
        <v>371</v>
      </c>
      <c r="B353" t="s">
        <v>46</v>
      </c>
      <c r="C353">
        <v>0</v>
      </c>
      <c r="D353">
        <v>0</v>
      </c>
      <c r="E353">
        <v>40</v>
      </c>
    </row>
    <row r="354" spans="1:5" x14ac:dyDescent="0.2">
      <c r="A354" t="s">
        <v>372</v>
      </c>
      <c r="B354" t="s">
        <v>53</v>
      </c>
      <c r="C354">
        <v>1</v>
      </c>
      <c r="D354">
        <v>1</v>
      </c>
      <c r="E354">
        <v>40</v>
      </c>
    </row>
    <row r="355" spans="1:5" x14ac:dyDescent="0.2">
      <c r="A355" t="s">
        <v>373</v>
      </c>
      <c r="B355" t="s">
        <v>53</v>
      </c>
      <c r="C355">
        <v>1</v>
      </c>
      <c r="D355">
        <v>1</v>
      </c>
      <c r="E355">
        <v>40</v>
      </c>
    </row>
    <row r="356" spans="1:5" x14ac:dyDescent="0.2">
      <c r="A356" t="s">
        <v>374</v>
      </c>
      <c r="B356" t="s">
        <v>11</v>
      </c>
      <c r="C356">
        <v>1</v>
      </c>
      <c r="D356">
        <v>1</v>
      </c>
      <c r="E356">
        <v>40</v>
      </c>
    </row>
    <row r="357" spans="1:5" x14ac:dyDescent="0.2">
      <c r="A357" t="s">
        <v>375</v>
      </c>
      <c r="B357" t="s">
        <v>28</v>
      </c>
      <c r="C357">
        <v>1</v>
      </c>
      <c r="D357">
        <v>1</v>
      </c>
      <c r="E357">
        <v>4</v>
      </c>
    </row>
    <row r="358" spans="1:5" x14ac:dyDescent="0.2">
      <c r="A358" t="s">
        <v>376</v>
      </c>
      <c r="B358" t="s">
        <v>6</v>
      </c>
      <c r="C358">
        <v>1</v>
      </c>
      <c r="D358">
        <v>1</v>
      </c>
      <c r="E358">
        <v>40</v>
      </c>
    </row>
    <row r="359" spans="1:5" x14ac:dyDescent="0.2">
      <c r="A359" t="s">
        <v>377</v>
      </c>
      <c r="B359" t="s">
        <v>17</v>
      </c>
      <c r="C359">
        <v>0</v>
      </c>
      <c r="D359">
        <v>1</v>
      </c>
      <c r="E359">
        <v>70</v>
      </c>
    </row>
    <row r="360" spans="1:5" x14ac:dyDescent="0.2">
      <c r="A360" t="s">
        <v>378</v>
      </c>
      <c r="B360" t="s">
        <v>28</v>
      </c>
      <c r="C360">
        <v>0</v>
      </c>
      <c r="D360">
        <v>1</v>
      </c>
      <c r="E360">
        <v>4</v>
      </c>
    </row>
    <row r="361" spans="1:5" x14ac:dyDescent="0.2">
      <c r="A361" t="s">
        <v>379</v>
      </c>
      <c r="B361" t="s">
        <v>40</v>
      </c>
      <c r="C361">
        <v>1</v>
      </c>
      <c r="D361">
        <v>1</v>
      </c>
      <c r="E361">
        <v>20</v>
      </c>
    </row>
    <row r="362" spans="1:5" x14ac:dyDescent="0.2">
      <c r="A362" t="s">
        <v>380</v>
      </c>
      <c r="B362" t="s">
        <v>13</v>
      </c>
      <c r="C362">
        <v>0</v>
      </c>
      <c r="D362">
        <v>0</v>
      </c>
      <c r="E362">
        <v>40</v>
      </c>
    </row>
    <row r="363" spans="1:5" x14ac:dyDescent="0.2">
      <c r="A363" t="s">
        <v>381</v>
      </c>
      <c r="B363" t="s">
        <v>17</v>
      </c>
      <c r="C363">
        <v>0</v>
      </c>
      <c r="D363">
        <v>1</v>
      </c>
      <c r="E363">
        <v>4</v>
      </c>
    </row>
    <row r="364" spans="1:5" x14ac:dyDescent="0.2">
      <c r="A364" t="s">
        <v>382</v>
      </c>
      <c r="B364" t="s">
        <v>37</v>
      </c>
      <c r="C364">
        <v>0</v>
      </c>
      <c r="D364">
        <v>1</v>
      </c>
      <c r="E364">
        <v>70</v>
      </c>
    </row>
    <row r="365" spans="1:5" x14ac:dyDescent="0.2">
      <c r="A365" t="s">
        <v>383</v>
      </c>
      <c r="B365" t="s">
        <v>17</v>
      </c>
      <c r="C365">
        <v>1</v>
      </c>
      <c r="D365">
        <v>1</v>
      </c>
      <c r="E365">
        <v>70</v>
      </c>
    </row>
    <row r="366" spans="1:5" x14ac:dyDescent="0.2">
      <c r="A366" t="s">
        <v>384</v>
      </c>
      <c r="B366" t="s">
        <v>46</v>
      </c>
      <c r="C366">
        <v>0</v>
      </c>
      <c r="D366">
        <v>0</v>
      </c>
      <c r="E366">
        <v>10</v>
      </c>
    </row>
    <row r="367" spans="1:5" x14ac:dyDescent="0.2">
      <c r="A367" t="s">
        <v>385</v>
      </c>
      <c r="B367" t="s">
        <v>37</v>
      </c>
      <c r="C367">
        <v>0</v>
      </c>
      <c r="D367">
        <v>0</v>
      </c>
      <c r="E367">
        <v>20</v>
      </c>
    </row>
    <row r="368" spans="1:5" x14ac:dyDescent="0.2">
      <c r="A368" t="s">
        <v>386</v>
      </c>
      <c r="B368" t="s">
        <v>11</v>
      </c>
      <c r="C368">
        <v>0</v>
      </c>
      <c r="D368">
        <v>0</v>
      </c>
      <c r="E368">
        <v>10</v>
      </c>
    </row>
    <row r="369" spans="1:5" x14ac:dyDescent="0.2">
      <c r="A369" t="s">
        <v>387</v>
      </c>
      <c r="B369" t="s">
        <v>8</v>
      </c>
      <c r="C369">
        <v>0</v>
      </c>
      <c r="D369">
        <v>0</v>
      </c>
      <c r="E369">
        <v>70</v>
      </c>
    </row>
    <row r="370" spans="1:5" x14ac:dyDescent="0.2">
      <c r="A370" t="s">
        <v>388</v>
      </c>
      <c r="B370" t="s">
        <v>26</v>
      </c>
      <c r="C370">
        <v>1</v>
      </c>
      <c r="D370">
        <v>0</v>
      </c>
      <c r="E370">
        <v>4</v>
      </c>
    </row>
    <row r="371" spans="1:5" x14ac:dyDescent="0.2">
      <c r="A371" t="s">
        <v>389</v>
      </c>
      <c r="B371" t="s">
        <v>13</v>
      </c>
      <c r="C371">
        <v>0</v>
      </c>
      <c r="D371">
        <v>1</v>
      </c>
      <c r="E371">
        <v>70</v>
      </c>
    </row>
    <row r="372" spans="1:5" x14ac:dyDescent="0.2">
      <c r="A372" t="s">
        <v>390</v>
      </c>
      <c r="B372" t="s">
        <v>6</v>
      </c>
      <c r="C372">
        <v>1</v>
      </c>
      <c r="D372">
        <v>0</v>
      </c>
      <c r="E372">
        <v>40</v>
      </c>
    </row>
    <row r="373" spans="1:5" x14ac:dyDescent="0.2">
      <c r="A373" t="s">
        <v>391</v>
      </c>
      <c r="B373" t="s">
        <v>40</v>
      </c>
      <c r="C373">
        <v>1</v>
      </c>
      <c r="D373">
        <v>1</v>
      </c>
      <c r="E373">
        <v>70</v>
      </c>
    </row>
    <row r="374" spans="1:5" x14ac:dyDescent="0.2">
      <c r="A374" t="s">
        <v>392</v>
      </c>
      <c r="B374" t="s">
        <v>37</v>
      </c>
      <c r="C374">
        <v>0</v>
      </c>
      <c r="D374">
        <v>1</v>
      </c>
      <c r="E374">
        <v>40</v>
      </c>
    </row>
    <row r="375" spans="1:5" x14ac:dyDescent="0.2">
      <c r="A375" t="s">
        <v>393</v>
      </c>
      <c r="B375" t="s">
        <v>17</v>
      </c>
      <c r="C375">
        <v>1</v>
      </c>
      <c r="D375">
        <v>1</v>
      </c>
      <c r="E375">
        <v>70</v>
      </c>
    </row>
    <row r="376" spans="1:5" x14ac:dyDescent="0.2">
      <c r="A376" t="s">
        <v>394</v>
      </c>
      <c r="B376" t="s">
        <v>53</v>
      </c>
      <c r="C376">
        <v>1</v>
      </c>
      <c r="D376">
        <v>1</v>
      </c>
      <c r="E376">
        <v>20</v>
      </c>
    </row>
    <row r="377" spans="1:5" x14ac:dyDescent="0.2">
      <c r="A377" t="s">
        <v>395</v>
      </c>
      <c r="B377" t="s">
        <v>40</v>
      </c>
      <c r="C377">
        <v>1</v>
      </c>
      <c r="D377">
        <v>0</v>
      </c>
      <c r="E377">
        <v>4</v>
      </c>
    </row>
    <row r="378" spans="1:5" x14ac:dyDescent="0.2">
      <c r="A378" t="s">
        <v>396</v>
      </c>
      <c r="B378" t="s">
        <v>8</v>
      </c>
      <c r="C378">
        <v>0</v>
      </c>
      <c r="D378">
        <v>1</v>
      </c>
      <c r="E378">
        <v>10</v>
      </c>
    </row>
    <row r="379" spans="1:5" x14ac:dyDescent="0.2">
      <c r="A379" t="s">
        <v>397</v>
      </c>
      <c r="B379" t="s">
        <v>23</v>
      </c>
      <c r="C379">
        <v>1</v>
      </c>
      <c r="D379">
        <v>1</v>
      </c>
      <c r="E379">
        <v>20</v>
      </c>
    </row>
    <row r="380" spans="1:5" x14ac:dyDescent="0.2">
      <c r="A380" t="s">
        <v>398</v>
      </c>
      <c r="B380" t="s">
        <v>15</v>
      </c>
      <c r="C380">
        <v>0</v>
      </c>
      <c r="D380">
        <v>1</v>
      </c>
      <c r="E380">
        <v>10</v>
      </c>
    </row>
    <row r="381" spans="1:5" x14ac:dyDescent="0.2">
      <c r="A381" t="s">
        <v>399</v>
      </c>
      <c r="B381" t="s">
        <v>28</v>
      </c>
      <c r="C381">
        <v>0</v>
      </c>
      <c r="D381">
        <v>1</v>
      </c>
      <c r="E381">
        <v>4</v>
      </c>
    </row>
    <row r="382" spans="1:5" x14ac:dyDescent="0.2">
      <c r="A382" t="s">
        <v>400</v>
      </c>
      <c r="B382" t="s">
        <v>15</v>
      </c>
      <c r="C382">
        <v>0</v>
      </c>
      <c r="D382">
        <v>1</v>
      </c>
      <c r="E382">
        <v>10</v>
      </c>
    </row>
    <row r="383" spans="1:5" x14ac:dyDescent="0.2">
      <c r="A383" t="s">
        <v>401</v>
      </c>
      <c r="B383" t="s">
        <v>37</v>
      </c>
      <c r="C383">
        <v>1</v>
      </c>
      <c r="D383">
        <v>0</v>
      </c>
      <c r="E383">
        <v>4</v>
      </c>
    </row>
    <row r="384" spans="1:5" x14ac:dyDescent="0.2">
      <c r="A384" t="s">
        <v>402</v>
      </c>
      <c r="B384" t="s">
        <v>26</v>
      </c>
      <c r="C384">
        <v>1</v>
      </c>
      <c r="D384">
        <v>1</v>
      </c>
      <c r="E384">
        <v>4</v>
      </c>
    </row>
    <row r="385" spans="1:5" x14ac:dyDescent="0.2">
      <c r="A385" t="s">
        <v>403</v>
      </c>
      <c r="B385" t="s">
        <v>23</v>
      </c>
      <c r="C385">
        <v>0</v>
      </c>
      <c r="D385">
        <v>1</v>
      </c>
      <c r="E385">
        <v>40</v>
      </c>
    </row>
    <row r="386" spans="1:5" x14ac:dyDescent="0.2">
      <c r="A386" t="s">
        <v>404</v>
      </c>
      <c r="B386" t="s">
        <v>19</v>
      </c>
      <c r="C386">
        <v>1</v>
      </c>
      <c r="D386">
        <v>1</v>
      </c>
      <c r="E386">
        <v>70</v>
      </c>
    </row>
    <row r="387" spans="1:5" x14ac:dyDescent="0.2">
      <c r="A387" t="s">
        <v>405</v>
      </c>
      <c r="B387" t="s">
        <v>37</v>
      </c>
      <c r="C387">
        <v>1</v>
      </c>
      <c r="D387">
        <v>1</v>
      </c>
      <c r="E387">
        <v>4</v>
      </c>
    </row>
    <row r="388" spans="1:5" x14ac:dyDescent="0.2">
      <c r="A388" t="s">
        <v>406</v>
      </c>
      <c r="B388" t="s">
        <v>15</v>
      </c>
      <c r="C388">
        <v>1</v>
      </c>
      <c r="D388">
        <v>0</v>
      </c>
      <c r="E388">
        <v>70</v>
      </c>
    </row>
    <row r="389" spans="1:5" x14ac:dyDescent="0.2">
      <c r="A389" t="s">
        <v>407</v>
      </c>
      <c r="B389" t="s">
        <v>28</v>
      </c>
      <c r="C389">
        <v>0</v>
      </c>
      <c r="D389">
        <v>0</v>
      </c>
      <c r="E389">
        <v>20</v>
      </c>
    </row>
    <row r="390" spans="1:5" x14ac:dyDescent="0.2">
      <c r="A390" t="s">
        <v>408</v>
      </c>
      <c r="B390" t="s">
        <v>37</v>
      </c>
      <c r="C390">
        <v>0</v>
      </c>
      <c r="D390">
        <v>1</v>
      </c>
      <c r="E390">
        <v>70</v>
      </c>
    </row>
    <row r="391" spans="1:5" x14ac:dyDescent="0.2">
      <c r="A391" t="s">
        <v>409</v>
      </c>
      <c r="B391" t="s">
        <v>61</v>
      </c>
      <c r="C391">
        <v>0</v>
      </c>
      <c r="D391">
        <v>0</v>
      </c>
      <c r="E391">
        <v>4</v>
      </c>
    </row>
    <row r="392" spans="1:5" x14ac:dyDescent="0.2">
      <c r="A392" t="s">
        <v>410</v>
      </c>
      <c r="B392" t="s">
        <v>15</v>
      </c>
      <c r="C392">
        <v>0</v>
      </c>
      <c r="D392">
        <v>1</v>
      </c>
      <c r="E392">
        <v>10</v>
      </c>
    </row>
    <row r="393" spans="1:5" x14ac:dyDescent="0.2">
      <c r="A393" t="s">
        <v>411</v>
      </c>
      <c r="B393" t="s">
        <v>26</v>
      </c>
      <c r="C393">
        <v>1</v>
      </c>
      <c r="D393">
        <v>1</v>
      </c>
      <c r="E393">
        <v>70</v>
      </c>
    </row>
    <row r="394" spans="1:5" x14ac:dyDescent="0.2">
      <c r="A394" t="s">
        <v>412</v>
      </c>
      <c r="B394" t="s">
        <v>8</v>
      </c>
      <c r="C394">
        <v>0</v>
      </c>
      <c r="D394">
        <v>1</v>
      </c>
      <c r="E394">
        <v>40</v>
      </c>
    </row>
    <row r="395" spans="1:5" x14ac:dyDescent="0.2">
      <c r="A395" t="s">
        <v>413</v>
      </c>
      <c r="B395" t="s">
        <v>26</v>
      </c>
      <c r="C395">
        <v>0</v>
      </c>
      <c r="D395">
        <v>1</v>
      </c>
      <c r="E395">
        <v>10</v>
      </c>
    </row>
    <row r="396" spans="1:5" x14ac:dyDescent="0.2">
      <c r="A396" t="s">
        <v>414</v>
      </c>
      <c r="B396" t="s">
        <v>53</v>
      </c>
      <c r="C396">
        <v>1</v>
      </c>
      <c r="D396">
        <v>1</v>
      </c>
      <c r="E396">
        <v>10</v>
      </c>
    </row>
    <row r="397" spans="1:5" x14ac:dyDescent="0.2">
      <c r="A397" t="s">
        <v>415</v>
      </c>
      <c r="B397" t="s">
        <v>15</v>
      </c>
      <c r="C397">
        <v>0</v>
      </c>
      <c r="D397">
        <v>0</v>
      </c>
      <c r="E397">
        <v>40</v>
      </c>
    </row>
    <row r="398" spans="1:5" x14ac:dyDescent="0.2">
      <c r="A398" t="s">
        <v>416</v>
      </c>
      <c r="B398" t="s">
        <v>8</v>
      </c>
      <c r="C398">
        <v>1</v>
      </c>
      <c r="D398">
        <v>0</v>
      </c>
      <c r="E398">
        <v>40</v>
      </c>
    </row>
    <row r="399" spans="1:5" x14ac:dyDescent="0.2">
      <c r="A399" t="s">
        <v>417</v>
      </c>
      <c r="B399" t="s">
        <v>40</v>
      </c>
      <c r="C399">
        <v>1</v>
      </c>
      <c r="D399">
        <v>0</v>
      </c>
      <c r="E399">
        <v>20</v>
      </c>
    </row>
    <row r="400" spans="1:5" x14ac:dyDescent="0.2">
      <c r="A400" t="s">
        <v>418</v>
      </c>
      <c r="B400" t="s">
        <v>17</v>
      </c>
      <c r="C400">
        <v>1</v>
      </c>
      <c r="D400">
        <v>0</v>
      </c>
      <c r="E400">
        <v>40</v>
      </c>
    </row>
    <row r="401" spans="1:5" x14ac:dyDescent="0.2">
      <c r="A401" t="s">
        <v>419</v>
      </c>
      <c r="B401" t="s">
        <v>19</v>
      </c>
      <c r="C401">
        <v>1</v>
      </c>
      <c r="D401">
        <v>1</v>
      </c>
      <c r="E401">
        <v>70</v>
      </c>
    </row>
    <row r="402" spans="1:5" x14ac:dyDescent="0.2">
      <c r="A402" t="s">
        <v>420</v>
      </c>
      <c r="B402" t="s">
        <v>37</v>
      </c>
      <c r="C402">
        <v>1</v>
      </c>
      <c r="D402">
        <v>1</v>
      </c>
      <c r="E402">
        <v>20</v>
      </c>
    </row>
    <row r="403" spans="1:5" x14ac:dyDescent="0.2">
      <c r="A403" t="s">
        <v>421</v>
      </c>
      <c r="B403" t="s">
        <v>11</v>
      </c>
      <c r="C403">
        <v>0</v>
      </c>
      <c r="D403">
        <v>1</v>
      </c>
      <c r="E403">
        <v>70</v>
      </c>
    </row>
    <row r="404" spans="1:5" x14ac:dyDescent="0.2">
      <c r="A404" t="s">
        <v>422</v>
      </c>
      <c r="B404" t="s">
        <v>8</v>
      </c>
      <c r="C404">
        <v>0</v>
      </c>
      <c r="D404">
        <v>0</v>
      </c>
      <c r="E404">
        <v>40</v>
      </c>
    </row>
    <row r="405" spans="1:5" x14ac:dyDescent="0.2">
      <c r="A405" t="s">
        <v>423</v>
      </c>
      <c r="B405" t="s">
        <v>46</v>
      </c>
      <c r="C405">
        <v>1</v>
      </c>
      <c r="D405">
        <v>1</v>
      </c>
      <c r="E405">
        <v>4</v>
      </c>
    </row>
    <row r="406" spans="1:5" x14ac:dyDescent="0.2">
      <c r="A406" t="s">
        <v>424</v>
      </c>
      <c r="B406" t="s">
        <v>28</v>
      </c>
      <c r="C406">
        <v>1</v>
      </c>
      <c r="D406">
        <v>0</v>
      </c>
      <c r="E406">
        <v>70</v>
      </c>
    </row>
    <row r="407" spans="1:5" x14ac:dyDescent="0.2">
      <c r="A407" t="s">
        <v>425</v>
      </c>
      <c r="B407" t="s">
        <v>46</v>
      </c>
      <c r="C407">
        <v>1</v>
      </c>
      <c r="D407">
        <v>0</v>
      </c>
      <c r="E407">
        <v>40</v>
      </c>
    </row>
    <row r="408" spans="1:5" x14ac:dyDescent="0.2">
      <c r="A408" t="s">
        <v>426</v>
      </c>
      <c r="B408" t="s">
        <v>53</v>
      </c>
      <c r="C408">
        <v>1</v>
      </c>
      <c r="D408">
        <v>0</v>
      </c>
      <c r="E408">
        <v>4</v>
      </c>
    </row>
    <row r="409" spans="1:5" x14ac:dyDescent="0.2">
      <c r="A409" t="s">
        <v>427</v>
      </c>
      <c r="B409" t="s">
        <v>40</v>
      </c>
      <c r="C409">
        <v>0</v>
      </c>
      <c r="D409">
        <v>1</v>
      </c>
      <c r="E409">
        <v>4</v>
      </c>
    </row>
    <row r="410" spans="1:5" x14ac:dyDescent="0.2">
      <c r="A410" t="s">
        <v>428</v>
      </c>
      <c r="B410" t="s">
        <v>26</v>
      </c>
      <c r="C410">
        <v>1</v>
      </c>
      <c r="D410">
        <v>1</v>
      </c>
      <c r="E410">
        <v>40</v>
      </c>
    </row>
    <row r="411" spans="1:5" x14ac:dyDescent="0.2">
      <c r="A411" t="s">
        <v>429</v>
      </c>
      <c r="B411" t="s">
        <v>53</v>
      </c>
      <c r="C411">
        <v>0</v>
      </c>
      <c r="D411">
        <v>1</v>
      </c>
      <c r="E411">
        <v>40</v>
      </c>
    </row>
    <row r="412" spans="1:5" x14ac:dyDescent="0.2">
      <c r="A412" t="s">
        <v>430</v>
      </c>
      <c r="B412" t="s">
        <v>19</v>
      </c>
      <c r="C412">
        <v>1</v>
      </c>
      <c r="D412">
        <v>1</v>
      </c>
      <c r="E412">
        <v>70</v>
      </c>
    </row>
    <row r="413" spans="1:5" x14ac:dyDescent="0.2">
      <c r="A413" t="s">
        <v>431</v>
      </c>
      <c r="B413" t="s">
        <v>11</v>
      </c>
      <c r="C413">
        <v>0</v>
      </c>
      <c r="D413">
        <v>1</v>
      </c>
      <c r="E413">
        <v>20</v>
      </c>
    </row>
    <row r="414" spans="1:5" x14ac:dyDescent="0.2">
      <c r="A414" t="s">
        <v>432</v>
      </c>
      <c r="B414" t="s">
        <v>15</v>
      </c>
      <c r="C414">
        <v>0</v>
      </c>
      <c r="D414">
        <v>0</v>
      </c>
      <c r="E414">
        <v>4</v>
      </c>
    </row>
    <row r="415" spans="1:5" x14ac:dyDescent="0.2">
      <c r="A415" t="s">
        <v>433</v>
      </c>
      <c r="B415" t="s">
        <v>17</v>
      </c>
      <c r="C415">
        <v>0</v>
      </c>
      <c r="D415">
        <v>0</v>
      </c>
      <c r="E415">
        <v>70</v>
      </c>
    </row>
    <row r="416" spans="1:5" x14ac:dyDescent="0.2">
      <c r="A416" t="s">
        <v>434</v>
      </c>
      <c r="B416" t="s">
        <v>23</v>
      </c>
      <c r="C416">
        <v>1</v>
      </c>
      <c r="D416">
        <v>0</v>
      </c>
      <c r="E416">
        <v>4</v>
      </c>
    </row>
    <row r="417" spans="1:5" x14ac:dyDescent="0.2">
      <c r="A417" t="s">
        <v>435</v>
      </c>
      <c r="B417" t="s">
        <v>15</v>
      </c>
      <c r="C417">
        <v>0</v>
      </c>
      <c r="D417">
        <v>1</v>
      </c>
      <c r="E417">
        <v>20</v>
      </c>
    </row>
    <row r="418" spans="1:5" x14ac:dyDescent="0.2">
      <c r="A418" t="s">
        <v>436</v>
      </c>
      <c r="B418" t="s">
        <v>53</v>
      </c>
      <c r="C418">
        <v>1</v>
      </c>
      <c r="D418">
        <v>0</v>
      </c>
      <c r="E418">
        <v>40</v>
      </c>
    </row>
    <row r="419" spans="1:5" x14ac:dyDescent="0.2">
      <c r="A419" t="s">
        <v>437</v>
      </c>
      <c r="B419" t="s">
        <v>40</v>
      </c>
      <c r="C419">
        <v>0</v>
      </c>
      <c r="D419">
        <v>0</v>
      </c>
      <c r="E419">
        <v>10</v>
      </c>
    </row>
    <row r="420" spans="1:5" x14ac:dyDescent="0.2">
      <c r="A420" t="s">
        <v>438</v>
      </c>
      <c r="B420" t="s">
        <v>26</v>
      </c>
      <c r="C420">
        <v>0</v>
      </c>
      <c r="D420">
        <v>1</v>
      </c>
      <c r="E420">
        <v>40</v>
      </c>
    </row>
    <row r="421" spans="1:5" x14ac:dyDescent="0.2">
      <c r="A421" t="s">
        <v>439</v>
      </c>
      <c r="B421" t="s">
        <v>26</v>
      </c>
      <c r="C421">
        <v>1</v>
      </c>
      <c r="D421">
        <v>1</v>
      </c>
      <c r="E421">
        <v>40</v>
      </c>
    </row>
    <row r="422" spans="1:5" x14ac:dyDescent="0.2">
      <c r="A422" t="s">
        <v>440</v>
      </c>
      <c r="B422" t="s">
        <v>11</v>
      </c>
      <c r="C422">
        <v>0</v>
      </c>
      <c r="D422">
        <v>1</v>
      </c>
      <c r="E422">
        <v>70</v>
      </c>
    </row>
    <row r="423" spans="1:5" x14ac:dyDescent="0.2">
      <c r="A423" t="s">
        <v>441</v>
      </c>
      <c r="B423" t="s">
        <v>61</v>
      </c>
      <c r="C423">
        <v>1</v>
      </c>
      <c r="D423">
        <v>1</v>
      </c>
      <c r="E423">
        <v>70</v>
      </c>
    </row>
    <row r="424" spans="1:5" x14ac:dyDescent="0.2">
      <c r="A424" t="s">
        <v>442</v>
      </c>
      <c r="B424" t="s">
        <v>8</v>
      </c>
      <c r="C424">
        <v>1</v>
      </c>
      <c r="D424">
        <v>1</v>
      </c>
      <c r="E424">
        <v>70</v>
      </c>
    </row>
    <row r="425" spans="1:5" x14ac:dyDescent="0.2">
      <c r="A425" t="s">
        <v>443</v>
      </c>
      <c r="B425" t="s">
        <v>13</v>
      </c>
      <c r="C425">
        <v>0</v>
      </c>
      <c r="D425">
        <v>1</v>
      </c>
      <c r="E425">
        <v>70</v>
      </c>
    </row>
    <row r="426" spans="1:5" x14ac:dyDescent="0.2">
      <c r="A426" t="s">
        <v>444</v>
      </c>
      <c r="B426" t="s">
        <v>17</v>
      </c>
      <c r="C426">
        <v>0</v>
      </c>
      <c r="D426">
        <v>0</v>
      </c>
      <c r="E426">
        <v>4</v>
      </c>
    </row>
    <row r="427" spans="1:5" x14ac:dyDescent="0.2">
      <c r="A427" t="s">
        <v>445</v>
      </c>
      <c r="B427" t="s">
        <v>11</v>
      </c>
      <c r="C427">
        <v>0</v>
      </c>
      <c r="D427">
        <v>1</v>
      </c>
      <c r="E427">
        <v>40</v>
      </c>
    </row>
    <row r="428" spans="1:5" x14ac:dyDescent="0.2">
      <c r="A428" t="s">
        <v>446</v>
      </c>
      <c r="B428" t="s">
        <v>8</v>
      </c>
      <c r="C428">
        <v>0</v>
      </c>
      <c r="D428">
        <v>0</v>
      </c>
      <c r="E428">
        <v>4</v>
      </c>
    </row>
    <row r="429" spans="1:5" x14ac:dyDescent="0.2">
      <c r="A429" t="s">
        <v>447</v>
      </c>
      <c r="B429" t="s">
        <v>28</v>
      </c>
      <c r="C429">
        <v>1</v>
      </c>
      <c r="D429">
        <v>1</v>
      </c>
      <c r="E429">
        <v>20</v>
      </c>
    </row>
    <row r="430" spans="1:5" x14ac:dyDescent="0.2">
      <c r="A430" t="s">
        <v>448</v>
      </c>
      <c r="B430" t="s">
        <v>26</v>
      </c>
      <c r="C430">
        <v>0</v>
      </c>
      <c r="D430">
        <v>0</v>
      </c>
      <c r="E430">
        <v>20</v>
      </c>
    </row>
    <row r="431" spans="1:5" x14ac:dyDescent="0.2">
      <c r="A431" t="s">
        <v>449</v>
      </c>
      <c r="B431" t="s">
        <v>26</v>
      </c>
      <c r="C431">
        <v>1</v>
      </c>
      <c r="D431">
        <v>1</v>
      </c>
      <c r="E431">
        <v>4</v>
      </c>
    </row>
    <row r="432" spans="1:5" x14ac:dyDescent="0.2">
      <c r="A432" t="s">
        <v>450</v>
      </c>
      <c r="B432" t="s">
        <v>61</v>
      </c>
      <c r="C432">
        <v>0</v>
      </c>
      <c r="D432">
        <v>0</v>
      </c>
      <c r="E432">
        <v>40</v>
      </c>
    </row>
    <row r="433" spans="1:5" x14ac:dyDescent="0.2">
      <c r="A433" t="s">
        <v>451</v>
      </c>
      <c r="B433" t="s">
        <v>61</v>
      </c>
      <c r="C433">
        <v>1</v>
      </c>
      <c r="D433">
        <v>0</v>
      </c>
      <c r="E433">
        <v>40</v>
      </c>
    </row>
    <row r="434" spans="1:5" x14ac:dyDescent="0.2">
      <c r="A434" t="s">
        <v>452</v>
      </c>
      <c r="B434" t="s">
        <v>19</v>
      </c>
      <c r="C434">
        <v>0</v>
      </c>
      <c r="D434">
        <v>0</v>
      </c>
      <c r="E434">
        <v>40</v>
      </c>
    </row>
    <row r="435" spans="1:5" x14ac:dyDescent="0.2">
      <c r="A435" t="s">
        <v>453</v>
      </c>
      <c r="B435" t="s">
        <v>6</v>
      </c>
      <c r="C435">
        <v>1</v>
      </c>
      <c r="D435">
        <v>1</v>
      </c>
      <c r="E435">
        <v>4</v>
      </c>
    </row>
    <row r="436" spans="1:5" x14ac:dyDescent="0.2">
      <c r="A436" t="s">
        <v>454</v>
      </c>
      <c r="B436" t="s">
        <v>26</v>
      </c>
      <c r="C436">
        <v>1</v>
      </c>
      <c r="D436">
        <v>1</v>
      </c>
      <c r="E436">
        <v>20</v>
      </c>
    </row>
    <row r="437" spans="1:5" x14ac:dyDescent="0.2">
      <c r="A437" t="s">
        <v>455</v>
      </c>
      <c r="B437" t="s">
        <v>46</v>
      </c>
      <c r="C437">
        <v>1</v>
      </c>
      <c r="D437">
        <v>1</v>
      </c>
      <c r="E437">
        <v>70</v>
      </c>
    </row>
    <row r="438" spans="1:5" x14ac:dyDescent="0.2">
      <c r="A438" t="s">
        <v>456</v>
      </c>
      <c r="B438" t="s">
        <v>15</v>
      </c>
      <c r="C438">
        <v>0</v>
      </c>
      <c r="D438">
        <v>1</v>
      </c>
      <c r="E438">
        <v>4</v>
      </c>
    </row>
    <row r="439" spans="1:5" x14ac:dyDescent="0.2">
      <c r="A439" t="s">
        <v>457</v>
      </c>
      <c r="B439" t="s">
        <v>17</v>
      </c>
      <c r="C439">
        <v>0</v>
      </c>
      <c r="D439">
        <v>0</v>
      </c>
      <c r="E439">
        <v>10</v>
      </c>
    </row>
    <row r="440" spans="1:5" x14ac:dyDescent="0.2">
      <c r="A440" t="s">
        <v>458</v>
      </c>
      <c r="B440" t="s">
        <v>11</v>
      </c>
      <c r="C440">
        <v>0</v>
      </c>
      <c r="D440">
        <v>0</v>
      </c>
      <c r="E440">
        <v>20</v>
      </c>
    </row>
    <row r="441" spans="1:5" x14ac:dyDescent="0.2">
      <c r="A441" t="s">
        <v>459</v>
      </c>
      <c r="B441" t="s">
        <v>13</v>
      </c>
      <c r="C441">
        <v>1</v>
      </c>
      <c r="D441">
        <v>0</v>
      </c>
      <c r="E441">
        <v>20</v>
      </c>
    </row>
    <row r="442" spans="1:5" x14ac:dyDescent="0.2">
      <c r="A442" t="s">
        <v>460</v>
      </c>
      <c r="B442" t="s">
        <v>8</v>
      </c>
      <c r="C442">
        <v>1</v>
      </c>
      <c r="D442">
        <v>1</v>
      </c>
      <c r="E442">
        <v>10</v>
      </c>
    </row>
    <row r="443" spans="1:5" x14ac:dyDescent="0.2">
      <c r="A443" t="s">
        <v>461</v>
      </c>
      <c r="B443" t="s">
        <v>37</v>
      </c>
      <c r="C443">
        <v>0</v>
      </c>
      <c r="D443">
        <v>0</v>
      </c>
      <c r="E443">
        <v>70</v>
      </c>
    </row>
    <row r="444" spans="1:5" x14ac:dyDescent="0.2">
      <c r="A444" t="s">
        <v>462</v>
      </c>
      <c r="B444" t="s">
        <v>11</v>
      </c>
      <c r="C444">
        <v>0</v>
      </c>
      <c r="D444">
        <v>1</v>
      </c>
      <c r="E444">
        <v>70</v>
      </c>
    </row>
    <row r="445" spans="1:5" x14ac:dyDescent="0.2">
      <c r="A445" t="s">
        <v>463</v>
      </c>
      <c r="B445" t="s">
        <v>15</v>
      </c>
      <c r="C445">
        <v>1</v>
      </c>
      <c r="D445">
        <v>0</v>
      </c>
      <c r="E445">
        <v>4</v>
      </c>
    </row>
    <row r="446" spans="1:5" x14ac:dyDescent="0.2">
      <c r="A446" t="s">
        <v>464</v>
      </c>
      <c r="B446" t="s">
        <v>11</v>
      </c>
      <c r="C446">
        <v>0</v>
      </c>
      <c r="D446">
        <v>1</v>
      </c>
      <c r="E446">
        <v>4</v>
      </c>
    </row>
    <row r="447" spans="1:5" x14ac:dyDescent="0.2">
      <c r="A447" t="s">
        <v>96</v>
      </c>
      <c r="B447" t="s">
        <v>53</v>
      </c>
      <c r="C447">
        <v>0</v>
      </c>
      <c r="D447">
        <v>0</v>
      </c>
      <c r="E447">
        <v>70</v>
      </c>
    </row>
    <row r="448" spans="1:5" x14ac:dyDescent="0.2">
      <c r="A448" t="s">
        <v>465</v>
      </c>
      <c r="B448" t="s">
        <v>46</v>
      </c>
      <c r="C448">
        <v>1</v>
      </c>
      <c r="D448">
        <v>0</v>
      </c>
      <c r="E448">
        <v>4</v>
      </c>
    </row>
    <row r="449" spans="1:5" x14ac:dyDescent="0.2">
      <c r="A449" t="s">
        <v>466</v>
      </c>
      <c r="B449" t="s">
        <v>46</v>
      </c>
      <c r="C449">
        <v>1</v>
      </c>
      <c r="D449">
        <v>1</v>
      </c>
      <c r="E449">
        <v>20</v>
      </c>
    </row>
    <row r="450" spans="1:5" x14ac:dyDescent="0.2">
      <c r="A450" t="s">
        <v>467</v>
      </c>
      <c r="B450" t="s">
        <v>46</v>
      </c>
      <c r="C450">
        <v>1</v>
      </c>
      <c r="D450">
        <v>1</v>
      </c>
      <c r="E450">
        <v>40</v>
      </c>
    </row>
    <row r="451" spans="1:5" x14ac:dyDescent="0.2">
      <c r="A451" t="s">
        <v>468</v>
      </c>
      <c r="B451" t="s">
        <v>46</v>
      </c>
      <c r="C451">
        <v>1</v>
      </c>
      <c r="D451">
        <v>1</v>
      </c>
      <c r="E451">
        <v>4</v>
      </c>
    </row>
    <row r="452" spans="1:5" x14ac:dyDescent="0.2">
      <c r="A452" t="s">
        <v>469</v>
      </c>
      <c r="B452" t="s">
        <v>19</v>
      </c>
      <c r="C452">
        <v>0</v>
      </c>
      <c r="D452">
        <v>1</v>
      </c>
      <c r="E452">
        <v>20</v>
      </c>
    </row>
    <row r="453" spans="1:5" x14ac:dyDescent="0.2">
      <c r="A453" t="s">
        <v>470</v>
      </c>
      <c r="B453" t="s">
        <v>11</v>
      </c>
      <c r="C453">
        <v>1</v>
      </c>
      <c r="D453">
        <v>1</v>
      </c>
      <c r="E453">
        <v>20</v>
      </c>
    </row>
    <row r="454" spans="1:5" x14ac:dyDescent="0.2">
      <c r="A454" t="s">
        <v>471</v>
      </c>
      <c r="B454" t="s">
        <v>40</v>
      </c>
      <c r="C454">
        <v>0</v>
      </c>
      <c r="D454">
        <v>1</v>
      </c>
      <c r="E454">
        <v>70</v>
      </c>
    </row>
    <row r="455" spans="1:5" x14ac:dyDescent="0.2">
      <c r="A455" t="s">
        <v>472</v>
      </c>
      <c r="B455" t="s">
        <v>17</v>
      </c>
      <c r="C455">
        <v>0</v>
      </c>
      <c r="D455">
        <v>0</v>
      </c>
      <c r="E455">
        <v>20</v>
      </c>
    </row>
    <row r="456" spans="1:5" x14ac:dyDescent="0.2">
      <c r="A456" t="s">
        <v>473</v>
      </c>
      <c r="B456" t="s">
        <v>26</v>
      </c>
      <c r="C456">
        <v>0</v>
      </c>
      <c r="D456">
        <v>0</v>
      </c>
      <c r="E456">
        <v>4</v>
      </c>
    </row>
    <row r="457" spans="1:5" x14ac:dyDescent="0.2">
      <c r="A457" t="s">
        <v>474</v>
      </c>
      <c r="B457" t="s">
        <v>6</v>
      </c>
      <c r="C457">
        <v>0</v>
      </c>
      <c r="D457">
        <v>0</v>
      </c>
      <c r="E457">
        <v>10</v>
      </c>
    </row>
    <row r="458" spans="1:5" x14ac:dyDescent="0.2">
      <c r="A458" t="s">
        <v>475</v>
      </c>
      <c r="B458" t="s">
        <v>6</v>
      </c>
      <c r="C458">
        <v>1</v>
      </c>
      <c r="D458">
        <v>0</v>
      </c>
      <c r="E458">
        <v>10</v>
      </c>
    </row>
    <row r="459" spans="1:5" x14ac:dyDescent="0.2">
      <c r="A459" t="s">
        <v>476</v>
      </c>
      <c r="B459" t="s">
        <v>23</v>
      </c>
      <c r="C459">
        <v>0</v>
      </c>
      <c r="D459">
        <v>1</v>
      </c>
      <c r="E459">
        <v>4</v>
      </c>
    </row>
    <row r="460" spans="1:5" x14ac:dyDescent="0.2">
      <c r="A460" t="s">
        <v>477</v>
      </c>
      <c r="B460" t="s">
        <v>17</v>
      </c>
      <c r="C460">
        <v>1</v>
      </c>
      <c r="D460">
        <v>1</v>
      </c>
      <c r="E460">
        <v>10</v>
      </c>
    </row>
    <row r="461" spans="1:5" x14ac:dyDescent="0.2">
      <c r="A461" t="s">
        <v>478</v>
      </c>
      <c r="B461" t="s">
        <v>37</v>
      </c>
      <c r="C461">
        <v>1</v>
      </c>
      <c r="D461">
        <v>1</v>
      </c>
      <c r="E461">
        <v>20</v>
      </c>
    </row>
    <row r="462" spans="1:5" x14ac:dyDescent="0.2">
      <c r="A462" t="s">
        <v>479</v>
      </c>
      <c r="B462" t="s">
        <v>23</v>
      </c>
      <c r="C462">
        <v>0</v>
      </c>
      <c r="D462">
        <v>0</v>
      </c>
      <c r="E462">
        <v>40</v>
      </c>
    </row>
    <row r="463" spans="1:5" x14ac:dyDescent="0.2">
      <c r="A463" t="s">
        <v>480</v>
      </c>
      <c r="B463" t="s">
        <v>19</v>
      </c>
      <c r="C463">
        <v>0</v>
      </c>
      <c r="D463">
        <v>0</v>
      </c>
      <c r="E463">
        <v>10</v>
      </c>
    </row>
    <row r="464" spans="1:5" x14ac:dyDescent="0.2">
      <c r="A464" t="s">
        <v>481</v>
      </c>
      <c r="B464" t="s">
        <v>28</v>
      </c>
      <c r="C464">
        <v>0</v>
      </c>
      <c r="D464">
        <v>1</v>
      </c>
      <c r="E464">
        <v>20</v>
      </c>
    </row>
    <row r="465" spans="1:5" x14ac:dyDescent="0.2">
      <c r="A465" t="s">
        <v>482</v>
      </c>
      <c r="B465" t="s">
        <v>28</v>
      </c>
      <c r="C465">
        <v>1</v>
      </c>
      <c r="D465">
        <v>1</v>
      </c>
      <c r="E465">
        <v>10</v>
      </c>
    </row>
    <row r="466" spans="1:5" x14ac:dyDescent="0.2">
      <c r="A466" t="s">
        <v>483</v>
      </c>
      <c r="B466" t="s">
        <v>15</v>
      </c>
      <c r="C466">
        <v>0</v>
      </c>
      <c r="D466">
        <v>1</v>
      </c>
      <c r="E466">
        <v>4</v>
      </c>
    </row>
    <row r="467" spans="1:5" x14ac:dyDescent="0.2">
      <c r="A467" t="s">
        <v>484</v>
      </c>
      <c r="B467" t="s">
        <v>11</v>
      </c>
      <c r="C467">
        <v>1</v>
      </c>
      <c r="D467">
        <v>1</v>
      </c>
      <c r="E467">
        <v>70</v>
      </c>
    </row>
    <row r="468" spans="1:5" x14ac:dyDescent="0.2">
      <c r="A468" t="s">
        <v>485</v>
      </c>
      <c r="B468" t="s">
        <v>6</v>
      </c>
      <c r="C468">
        <v>0</v>
      </c>
      <c r="D468">
        <v>1</v>
      </c>
      <c r="E468">
        <v>40</v>
      </c>
    </row>
    <row r="469" spans="1:5" x14ac:dyDescent="0.2">
      <c r="A469" t="s">
        <v>486</v>
      </c>
      <c r="B469" t="s">
        <v>15</v>
      </c>
      <c r="C469">
        <v>1</v>
      </c>
      <c r="D469">
        <v>1</v>
      </c>
      <c r="E469">
        <v>40</v>
      </c>
    </row>
    <row r="470" spans="1:5" x14ac:dyDescent="0.2">
      <c r="A470" t="s">
        <v>487</v>
      </c>
      <c r="B470" t="s">
        <v>61</v>
      </c>
      <c r="C470">
        <v>1</v>
      </c>
      <c r="D470">
        <v>0</v>
      </c>
      <c r="E470">
        <v>4</v>
      </c>
    </row>
    <row r="471" spans="1:5" x14ac:dyDescent="0.2">
      <c r="A471" t="s">
        <v>488</v>
      </c>
      <c r="B471" t="s">
        <v>26</v>
      </c>
      <c r="C471">
        <v>1</v>
      </c>
      <c r="D471">
        <v>1</v>
      </c>
      <c r="E471">
        <v>40</v>
      </c>
    </row>
    <row r="472" spans="1:5" x14ac:dyDescent="0.2">
      <c r="A472" t="s">
        <v>489</v>
      </c>
      <c r="B472" t="s">
        <v>37</v>
      </c>
      <c r="C472">
        <v>0</v>
      </c>
      <c r="D472">
        <v>1</v>
      </c>
      <c r="E472">
        <v>20</v>
      </c>
    </row>
    <row r="473" spans="1:5" x14ac:dyDescent="0.2">
      <c r="A473" t="s">
        <v>490</v>
      </c>
      <c r="B473" t="s">
        <v>53</v>
      </c>
      <c r="C473">
        <v>0</v>
      </c>
      <c r="D473">
        <v>0</v>
      </c>
      <c r="E473">
        <v>4</v>
      </c>
    </row>
    <row r="474" spans="1:5" x14ac:dyDescent="0.2">
      <c r="A474" t="s">
        <v>491</v>
      </c>
      <c r="B474" t="s">
        <v>13</v>
      </c>
      <c r="C474">
        <v>1</v>
      </c>
      <c r="D474">
        <v>1</v>
      </c>
      <c r="E474">
        <v>20</v>
      </c>
    </row>
    <row r="475" spans="1:5" x14ac:dyDescent="0.2">
      <c r="A475" t="s">
        <v>492</v>
      </c>
      <c r="B475" t="s">
        <v>37</v>
      </c>
      <c r="C475">
        <v>0</v>
      </c>
      <c r="D475">
        <v>0</v>
      </c>
      <c r="E475">
        <v>20</v>
      </c>
    </row>
    <row r="476" spans="1:5" x14ac:dyDescent="0.2">
      <c r="A476" t="s">
        <v>493</v>
      </c>
      <c r="B476" t="s">
        <v>19</v>
      </c>
      <c r="C476">
        <v>0</v>
      </c>
      <c r="D476">
        <v>1</v>
      </c>
      <c r="E476">
        <v>10</v>
      </c>
    </row>
    <row r="477" spans="1:5" x14ac:dyDescent="0.2">
      <c r="A477" t="s">
        <v>494</v>
      </c>
      <c r="B477" t="s">
        <v>40</v>
      </c>
      <c r="C477">
        <v>1</v>
      </c>
      <c r="D477">
        <v>1</v>
      </c>
      <c r="E477">
        <v>70</v>
      </c>
    </row>
    <row r="478" spans="1:5" x14ac:dyDescent="0.2">
      <c r="A478" t="s">
        <v>495</v>
      </c>
      <c r="B478" t="s">
        <v>19</v>
      </c>
      <c r="C478">
        <v>0</v>
      </c>
      <c r="D478">
        <v>1</v>
      </c>
      <c r="E478">
        <v>10</v>
      </c>
    </row>
    <row r="479" spans="1:5" x14ac:dyDescent="0.2">
      <c r="A479" t="s">
        <v>496</v>
      </c>
      <c r="B479" t="s">
        <v>37</v>
      </c>
      <c r="C479">
        <v>1</v>
      </c>
      <c r="D479">
        <v>1</v>
      </c>
      <c r="E479">
        <v>10</v>
      </c>
    </row>
    <row r="480" spans="1:5" x14ac:dyDescent="0.2">
      <c r="A480" t="s">
        <v>497</v>
      </c>
      <c r="B480" t="s">
        <v>40</v>
      </c>
      <c r="C480">
        <v>1</v>
      </c>
      <c r="D480">
        <v>0</v>
      </c>
      <c r="E480">
        <v>10</v>
      </c>
    </row>
    <row r="481" spans="1:5" x14ac:dyDescent="0.2">
      <c r="A481" t="s">
        <v>498</v>
      </c>
      <c r="B481" t="s">
        <v>8</v>
      </c>
      <c r="C481">
        <v>1</v>
      </c>
      <c r="D481">
        <v>1</v>
      </c>
      <c r="E481">
        <v>4</v>
      </c>
    </row>
    <row r="482" spans="1:5" x14ac:dyDescent="0.2">
      <c r="A482" t="s">
        <v>499</v>
      </c>
      <c r="B482" t="s">
        <v>11</v>
      </c>
      <c r="C482">
        <v>0</v>
      </c>
      <c r="D482">
        <v>0</v>
      </c>
      <c r="E482">
        <v>70</v>
      </c>
    </row>
    <row r="483" spans="1:5" x14ac:dyDescent="0.2">
      <c r="A483" t="s">
        <v>500</v>
      </c>
      <c r="B483" t="s">
        <v>17</v>
      </c>
      <c r="C483">
        <v>1</v>
      </c>
      <c r="D483">
        <v>1</v>
      </c>
      <c r="E483">
        <v>4</v>
      </c>
    </row>
    <row r="484" spans="1:5" x14ac:dyDescent="0.2">
      <c r="A484" t="s">
        <v>501</v>
      </c>
      <c r="B484" t="s">
        <v>46</v>
      </c>
      <c r="C484">
        <v>0</v>
      </c>
      <c r="D484">
        <v>1</v>
      </c>
      <c r="E484">
        <v>20</v>
      </c>
    </row>
    <row r="485" spans="1:5" x14ac:dyDescent="0.2">
      <c r="A485" t="s">
        <v>502</v>
      </c>
      <c r="B485" t="s">
        <v>40</v>
      </c>
      <c r="C485">
        <v>0</v>
      </c>
      <c r="D485">
        <v>1</v>
      </c>
      <c r="E485">
        <v>4</v>
      </c>
    </row>
    <row r="486" spans="1:5" x14ac:dyDescent="0.2">
      <c r="A486" t="s">
        <v>503</v>
      </c>
      <c r="B486" t="s">
        <v>61</v>
      </c>
      <c r="C486">
        <v>1</v>
      </c>
      <c r="D486">
        <v>1</v>
      </c>
      <c r="E486">
        <v>70</v>
      </c>
    </row>
    <row r="487" spans="1:5" x14ac:dyDescent="0.2">
      <c r="A487" t="s">
        <v>504</v>
      </c>
      <c r="B487" t="s">
        <v>15</v>
      </c>
      <c r="C487">
        <v>0</v>
      </c>
      <c r="D487">
        <v>0</v>
      </c>
      <c r="E487">
        <v>40</v>
      </c>
    </row>
    <row r="488" spans="1:5" x14ac:dyDescent="0.2">
      <c r="A488" t="s">
        <v>505</v>
      </c>
      <c r="B488" t="s">
        <v>15</v>
      </c>
      <c r="C488">
        <v>0</v>
      </c>
      <c r="D488">
        <v>0</v>
      </c>
      <c r="E488">
        <v>70</v>
      </c>
    </row>
    <row r="489" spans="1:5" x14ac:dyDescent="0.2">
      <c r="A489" t="s">
        <v>506</v>
      </c>
      <c r="B489" t="s">
        <v>6</v>
      </c>
      <c r="C489">
        <v>0</v>
      </c>
      <c r="D489">
        <v>1</v>
      </c>
      <c r="E489">
        <v>10</v>
      </c>
    </row>
    <row r="490" spans="1:5" x14ac:dyDescent="0.2">
      <c r="A490" t="s">
        <v>507</v>
      </c>
      <c r="B490" t="s">
        <v>11</v>
      </c>
      <c r="C490">
        <v>1</v>
      </c>
      <c r="D490">
        <v>1</v>
      </c>
      <c r="E490">
        <v>40</v>
      </c>
    </row>
    <row r="491" spans="1:5" x14ac:dyDescent="0.2">
      <c r="A491" t="s">
        <v>508</v>
      </c>
      <c r="B491" t="s">
        <v>46</v>
      </c>
      <c r="C491">
        <v>1</v>
      </c>
      <c r="D491">
        <v>1</v>
      </c>
      <c r="E491">
        <v>10</v>
      </c>
    </row>
    <row r="492" spans="1:5" x14ac:dyDescent="0.2">
      <c r="A492" t="s">
        <v>509</v>
      </c>
      <c r="B492" t="s">
        <v>26</v>
      </c>
      <c r="C492">
        <v>1</v>
      </c>
      <c r="D492">
        <v>1</v>
      </c>
      <c r="E492">
        <v>4</v>
      </c>
    </row>
    <row r="493" spans="1:5" x14ac:dyDescent="0.2">
      <c r="A493" t="s">
        <v>510</v>
      </c>
      <c r="B493" t="s">
        <v>46</v>
      </c>
      <c r="C493">
        <v>0</v>
      </c>
      <c r="D493">
        <v>1</v>
      </c>
      <c r="E493">
        <v>4</v>
      </c>
    </row>
    <row r="494" spans="1:5" x14ac:dyDescent="0.2">
      <c r="A494" t="s">
        <v>511</v>
      </c>
      <c r="B494" t="s">
        <v>26</v>
      </c>
      <c r="C494">
        <v>0</v>
      </c>
      <c r="D494">
        <v>0</v>
      </c>
      <c r="E494">
        <v>10</v>
      </c>
    </row>
    <row r="495" spans="1:5" x14ac:dyDescent="0.2">
      <c r="A495" t="s">
        <v>512</v>
      </c>
      <c r="B495" t="s">
        <v>19</v>
      </c>
      <c r="C495">
        <v>1</v>
      </c>
      <c r="D495">
        <v>1</v>
      </c>
      <c r="E495">
        <v>4</v>
      </c>
    </row>
    <row r="496" spans="1:5" x14ac:dyDescent="0.2">
      <c r="A496" t="s">
        <v>513</v>
      </c>
      <c r="B496" t="s">
        <v>19</v>
      </c>
      <c r="C496">
        <v>0</v>
      </c>
      <c r="D496">
        <v>0</v>
      </c>
      <c r="E496">
        <v>70</v>
      </c>
    </row>
    <row r="497" spans="1:5" x14ac:dyDescent="0.2">
      <c r="A497" t="s">
        <v>514</v>
      </c>
      <c r="B497" t="s">
        <v>11</v>
      </c>
      <c r="C497">
        <v>0</v>
      </c>
      <c r="D497">
        <v>1</v>
      </c>
      <c r="E497">
        <v>70</v>
      </c>
    </row>
    <row r="498" spans="1:5" x14ac:dyDescent="0.2">
      <c r="A498" t="s">
        <v>515</v>
      </c>
      <c r="B498" t="s">
        <v>40</v>
      </c>
      <c r="C498">
        <v>0</v>
      </c>
      <c r="D498">
        <v>0</v>
      </c>
      <c r="E498">
        <v>70</v>
      </c>
    </row>
    <row r="499" spans="1:5" x14ac:dyDescent="0.2">
      <c r="A499" t="s">
        <v>516</v>
      </c>
      <c r="B499" t="s">
        <v>28</v>
      </c>
      <c r="C499">
        <v>1</v>
      </c>
      <c r="D499">
        <v>1</v>
      </c>
      <c r="E499">
        <v>40</v>
      </c>
    </row>
    <row r="500" spans="1:5" x14ac:dyDescent="0.2">
      <c r="A500" t="s">
        <v>517</v>
      </c>
      <c r="B500" t="s">
        <v>53</v>
      </c>
      <c r="C500">
        <v>1</v>
      </c>
      <c r="D500">
        <v>0</v>
      </c>
      <c r="E500">
        <v>70</v>
      </c>
    </row>
    <row r="501" spans="1:5" x14ac:dyDescent="0.2">
      <c r="A501" t="s">
        <v>518</v>
      </c>
      <c r="B501" t="s">
        <v>19</v>
      </c>
      <c r="C501">
        <v>0</v>
      </c>
      <c r="D501">
        <v>0</v>
      </c>
      <c r="E501">
        <v>4</v>
      </c>
    </row>
    <row r="502" spans="1:5" x14ac:dyDescent="0.2">
      <c r="A502" t="s">
        <v>519</v>
      </c>
      <c r="B502" t="s">
        <v>19</v>
      </c>
      <c r="C502">
        <v>1</v>
      </c>
      <c r="D502">
        <v>1</v>
      </c>
      <c r="E502">
        <v>10</v>
      </c>
    </row>
    <row r="503" spans="1:5" x14ac:dyDescent="0.2">
      <c r="A503" t="s">
        <v>520</v>
      </c>
      <c r="B503" t="s">
        <v>28</v>
      </c>
      <c r="C503">
        <v>1</v>
      </c>
      <c r="D503">
        <v>1</v>
      </c>
      <c r="E503">
        <v>70</v>
      </c>
    </row>
    <row r="504" spans="1:5" x14ac:dyDescent="0.2">
      <c r="A504" t="s">
        <v>521</v>
      </c>
      <c r="B504" t="s">
        <v>61</v>
      </c>
      <c r="C504">
        <v>0</v>
      </c>
      <c r="D504">
        <v>1</v>
      </c>
      <c r="E504">
        <v>20</v>
      </c>
    </row>
    <row r="505" spans="1:5" x14ac:dyDescent="0.2">
      <c r="A505" t="s">
        <v>522</v>
      </c>
      <c r="B505" t="s">
        <v>40</v>
      </c>
      <c r="C505">
        <v>0</v>
      </c>
      <c r="D505">
        <v>0</v>
      </c>
      <c r="E505">
        <v>20</v>
      </c>
    </row>
    <row r="506" spans="1:5" x14ac:dyDescent="0.2">
      <c r="A506" t="s">
        <v>523</v>
      </c>
      <c r="B506" t="s">
        <v>17</v>
      </c>
      <c r="C506">
        <v>1</v>
      </c>
      <c r="D506">
        <v>1</v>
      </c>
      <c r="E506">
        <v>70</v>
      </c>
    </row>
    <row r="507" spans="1:5" x14ac:dyDescent="0.2">
      <c r="A507" t="s">
        <v>524</v>
      </c>
      <c r="B507" t="s">
        <v>15</v>
      </c>
      <c r="C507">
        <v>0</v>
      </c>
      <c r="D507">
        <v>0</v>
      </c>
      <c r="E507">
        <v>4</v>
      </c>
    </row>
    <row r="508" spans="1:5" x14ac:dyDescent="0.2">
      <c r="A508" t="s">
        <v>525</v>
      </c>
      <c r="B508" t="s">
        <v>13</v>
      </c>
      <c r="C508">
        <v>1</v>
      </c>
      <c r="D508">
        <v>1</v>
      </c>
      <c r="E508">
        <v>10</v>
      </c>
    </row>
    <row r="509" spans="1:5" x14ac:dyDescent="0.2">
      <c r="A509" t="s">
        <v>526</v>
      </c>
      <c r="B509" t="s">
        <v>8</v>
      </c>
      <c r="C509">
        <v>0</v>
      </c>
      <c r="D509">
        <v>0</v>
      </c>
      <c r="E509">
        <v>4</v>
      </c>
    </row>
    <row r="510" spans="1:5" x14ac:dyDescent="0.2">
      <c r="A510" t="s">
        <v>527</v>
      </c>
      <c r="B510" t="s">
        <v>15</v>
      </c>
      <c r="C510">
        <v>0</v>
      </c>
      <c r="D510">
        <v>1</v>
      </c>
      <c r="E510">
        <v>70</v>
      </c>
    </row>
    <row r="511" spans="1:5" x14ac:dyDescent="0.2">
      <c r="A511" t="s">
        <v>528</v>
      </c>
      <c r="B511" t="s">
        <v>13</v>
      </c>
      <c r="C511">
        <v>1</v>
      </c>
      <c r="D511">
        <v>1</v>
      </c>
      <c r="E511">
        <v>70</v>
      </c>
    </row>
    <row r="512" spans="1:5" x14ac:dyDescent="0.2">
      <c r="A512" t="s">
        <v>529</v>
      </c>
      <c r="B512" t="s">
        <v>6</v>
      </c>
      <c r="C512">
        <v>0</v>
      </c>
      <c r="D512">
        <v>1</v>
      </c>
      <c r="E512">
        <v>20</v>
      </c>
    </row>
    <row r="513" spans="1:5" x14ac:dyDescent="0.2">
      <c r="A513" t="s">
        <v>530</v>
      </c>
      <c r="B513" t="s">
        <v>8</v>
      </c>
      <c r="C513">
        <v>1</v>
      </c>
      <c r="D513">
        <v>1</v>
      </c>
      <c r="E513">
        <v>40</v>
      </c>
    </row>
    <row r="514" spans="1:5" x14ac:dyDescent="0.2">
      <c r="A514" t="s">
        <v>531</v>
      </c>
      <c r="B514" t="s">
        <v>37</v>
      </c>
      <c r="C514">
        <v>1</v>
      </c>
      <c r="D514">
        <v>1</v>
      </c>
      <c r="E514">
        <v>70</v>
      </c>
    </row>
    <row r="515" spans="1:5" x14ac:dyDescent="0.2">
      <c r="A515" t="s">
        <v>532</v>
      </c>
      <c r="B515" t="s">
        <v>61</v>
      </c>
      <c r="C515">
        <v>1</v>
      </c>
      <c r="D515">
        <v>1</v>
      </c>
      <c r="E515">
        <v>4</v>
      </c>
    </row>
    <row r="516" spans="1:5" x14ac:dyDescent="0.2">
      <c r="A516" t="s">
        <v>533</v>
      </c>
      <c r="B516" t="s">
        <v>19</v>
      </c>
      <c r="C516">
        <v>0</v>
      </c>
      <c r="D516">
        <v>1</v>
      </c>
      <c r="E516">
        <v>40</v>
      </c>
    </row>
    <row r="517" spans="1:5" x14ac:dyDescent="0.2">
      <c r="A517" t="s">
        <v>534</v>
      </c>
      <c r="B517" t="s">
        <v>11</v>
      </c>
      <c r="C517">
        <v>1</v>
      </c>
      <c r="D517">
        <v>1</v>
      </c>
      <c r="E517">
        <v>20</v>
      </c>
    </row>
    <row r="518" spans="1:5" x14ac:dyDescent="0.2">
      <c r="A518" t="s">
        <v>535</v>
      </c>
      <c r="B518" t="s">
        <v>19</v>
      </c>
      <c r="C518">
        <v>0</v>
      </c>
      <c r="D518">
        <v>1</v>
      </c>
      <c r="E518">
        <v>40</v>
      </c>
    </row>
    <row r="519" spans="1:5" x14ac:dyDescent="0.2">
      <c r="A519" t="s">
        <v>536</v>
      </c>
      <c r="B519" t="s">
        <v>15</v>
      </c>
      <c r="C519">
        <v>1</v>
      </c>
      <c r="D519">
        <v>1</v>
      </c>
      <c r="E519">
        <v>40</v>
      </c>
    </row>
    <row r="520" spans="1:5" x14ac:dyDescent="0.2">
      <c r="A520" t="s">
        <v>537</v>
      </c>
      <c r="B520" t="s">
        <v>37</v>
      </c>
      <c r="C520">
        <v>0</v>
      </c>
      <c r="D520">
        <v>1</v>
      </c>
      <c r="E520">
        <v>4</v>
      </c>
    </row>
    <row r="521" spans="1:5" x14ac:dyDescent="0.2">
      <c r="A521" t="s">
        <v>538</v>
      </c>
      <c r="B521" t="s">
        <v>53</v>
      </c>
      <c r="C521">
        <v>1</v>
      </c>
      <c r="D521">
        <v>1</v>
      </c>
      <c r="E521">
        <v>10</v>
      </c>
    </row>
    <row r="522" spans="1:5" x14ac:dyDescent="0.2">
      <c r="A522" t="s">
        <v>539</v>
      </c>
      <c r="B522" t="s">
        <v>28</v>
      </c>
      <c r="C522">
        <v>0</v>
      </c>
      <c r="D522">
        <v>1</v>
      </c>
      <c r="E522">
        <v>20</v>
      </c>
    </row>
    <row r="523" spans="1:5" x14ac:dyDescent="0.2">
      <c r="A523" t="s">
        <v>540</v>
      </c>
      <c r="B523" t="s">
        <v>17</v>
      </c>
      <c r="C523">
        <v>1</v>
      </c>
      <c r="D523">
        <v>0</v>
      </c>
      <c r="E523">
        <v>40</v>
      </c>
    </row>
    <row r="524" spans="1:5" x14ac:dyDescent="0.2">
      <c r="A524" t="s">
        <v>541</v>
      </c>
      <c r="B524" t="s">
        <v>40</v>
      </c>
      <c r="C524">
        <v>0</v>
      </c>
      <c r="D524">
        <v>1</v>
      </c>
      <c r="E524">
        <v>20</v>
      </c>
    </row>
    <row r="525" spans="1:5" x14ac:dyDescent="0.2">
      <c r="A525" t="s">
        <v>542</v>
      </c>
      <c r="B525" t="s">
        <v>40</v>
      </c>
      <c r="C525">
        <v>0</v>
      </c>
      <c r="D525">
        <v>1</v>
      </c>
      <c r="E525">
        <v>10</v>
      </c>
    </row>
    <row r="526" spans="1:5" x14ac:dyDescent="0.2">
      <c r="A526" t="s">
        <v>543</v>
      </c>
      <c r="B526" t="s">
        <v>37</v>
      </c>
      <c r="C526">
        <v>1</v>
      </c>
      <c r="D526">
        <v>1</v>
      </c>
      <c r="E526">
        <v>40</v>
      </c>
    </row>
    <row r="527" spans="1:5" x14ac:dyDescent="0.2">
      <c r="A527" t="s">
        <v>544</v>
      </c>
      <c r="B527" t="s">
        <v>23</v>
      </c>
      <c r="C527">
        <v>1</v>
      </c>
      <c r="D527">
        <v>0</v>
      </c>
      <c r="E527">
        <v>4</v>
      </c>
    </row>
    <row r="528" spans="1:5" x14ac:dyDescent="0.2">
      <c r="A528" t="s">
        <v>545</v>
      </c>
      <c r="B528" t="s">
        <v>23</v>
      </c>
      <c r="C528">
        <v>0</v>
      </c>
      <c r="D528">
        <v>1</v>
      </c>
      <c r="E528">
        <v>10</v>
      </c>
    </row>
    <row r="529" spans="1:5" x14ac:dyDescent="0.2">
      <c r="A529" t="s">
        <v>546</v>
      </c>
      <c r="B529" t="s">
        <v>23</v>
      </c>
      <c r="C529">
        <v>1</v>
      </c>
      <c r="D529">
        <v>1</v>
      </c>
      <c r="E529">
        <v>70</v>
      </c>
    </row>
    <row r="530" spans="1:5" x14ac:dyDescent="0.2">
      <c r="A530" t="s">
        <v>547</v>
      </c>
      <c r="B530" t="s">
        <v>13</v>
      </c>
      <c r="C530">
        <v>1</v>
      </c>
      <c r="D530">
        <v>1</v>
      </c>
      <c r="E530">
        <v>20</v>
      </c>
    </row>
    <row r="531" spans="1:5" x14ac:dyDescent="0.2">
      <c r="A531" t="s">
        <v>548</v>
      </c>
      <c r="B531" t="s">
        <v>23</v>
      </c>
      <c r="C531">
        <v>0</v>
      </c>
      <c r="D531">
        <v>1</v>
      </c>
      <c r="E531">
        <v>70</v>
      </c>
    </row>
    <row r="532" spans="1:5" x14ac:dyDescent="0.2">
      <c r="A532" t="s">
        <v>549</v>
      </c>
      <c r="B532" t="s">
        <v>17</v>
      </c>
      <c r="C532">
        <v>1</v>
      </c>
      <c r="D532">
        <v>0</v>
      </c>
      <c r="E532">
        <v>40</v>
      </c>
    </row>
    <row r="533" spans="1:5" x14ac:dyDescent="0.2">
      <c r="A533" t="s">
        <v>550</v>
      </c>
      <c r="B533" t="s">
        <v>26</v>
      </c>
      <c r="C533">
        <v>1</v>
      </c>
      <c r="D533">
        <v>0</v>
      </c>
      <c r="E533">
        <v>10</v>
      </c>
    </row>
    <row r="534" spans="1:5" x14ac:dyDescent="0.2">
      <c r="A534" t="s">
        <v>551</v>
      </c>
      <c r="B534" t="s">
        <v>61</v>
      </c>
      <c r="C534">
        <v>0</v>
      </c>
      <c r="D534">
        <v>1</v>
      </c>
      <c r="E534">
        <v>4</v>
      </c>
    </row>
    <row r="535" spans="1:5" x14ac:dyDescent="0.2">
      <c r="A535" t="s">
        <v>552</v>
      </c>
      <c r="B535" t="s">
        <v>61</v>
      </c>
      <c r="C535">
        <v>1</v>
      </c>
      <c r="D535">
        <v>1</v>
      </c>
      <c r="E535">
        <v>40</v>
      </c>
    </row>
    <row r="536" spans="1:5" x14ac:dyDescent="0.2">
      <c r="A536" t="s">
        <v>553</v>
      </c>
      <c r="B536" t="s">
        <v>53</v>
      </c>
      <c r="C536">
        <v>0</v>
      </c>
      <c r="D536">
        <v>1</v>
      </c>
      <c r="E536">
        <v>4</v>
      </c>
    </row>
    <row r="537" spans="1:5" x14ac:dyDescent="0.2">
      <c r="A537" t="s">
        <v>554</v>
      </c>
      <c r="B537" t="s">
        <v>13</v>
      </c>
      <c r="C537">
        <v>1</v>
      </c>
      <c r="D537">
        <v>1</v>
      </c>
      <c r="E537">
        <v>70</v>
      </c>
    </row>
    <row r="538" spans="1:5" x14ac:dyDescent="0.2">
      <c r="A538" t="s">
        <v>555</v>
      </c>
      <c r="B538" t="s">
        <v>46</v>
      </c>
      <c r="C538">
        <v>1</v>
      </c>
      <c r="D538">
        <v>0</v>
      </c>
      <c r="E538">
        <v>10</v>
      </c>
    </row>
    <row r="539" spans="1:5" x14ac:dyDescent="0.2">
      <c r="A539" t="s">
        <v>556</v>
      </c>
      <c r="B539" t="s">
        <v>6</v>
      </c>
      <c r="C539">
        <v>0</v>
      </c>
      <c r="D539">
        <v>0</v>
      </c>
      <c r="E539">
        <v>70</v>
      </c>
    </row>
    <row r="540" spans="1:5" x14ac:dyDescent="0.2">
      <c r="A540" t="s">
        <v>557</v>
      </c>
      <c r="B540" t="s">
        <v>53</v>
      </c>
      <c r="C540">
        <v>0</v>
      </c>
      <c r="D540">
        <v>1</v>
      </c>
      <c r="E540">
        <v>70</v>
      </c>
    </row>
    <row r="541" spans="1:5" x14ac:dyDescent="0.2">
      <c r="A541" t="s">
        <v>558</v>
      </c>
      <c r="B541" t="s">
        <v>8</v>
      </c>
      <c r="C541">
        <v>0</v>
      </c>
      <c r="D541">
        <v>1</v>
      </c>
      <c r="E541">
        <v>70</v>
      </c>
    </row>
    <row r="542" spans="1:5" x14ac:dyDescent="0.2">
      <c r="A542" t="s">
        <v>559</v>
      </c>
      <c r="B542" t="s">
        <v>11</v>
      </c>
      <c r="C542">
        <v>1</v>
      </c>
      <c r="D542">
        <v>1</v>
      </c>
      <c r="E542">
        <v>4</v>
      </c>
    </row>
    <row r="543" spans="1:5" x14ac:dyDescent="0.2">
      <c r="A543" t="s">
        <v>560</v>
      </c>
      <c r="B543" t="s">
        <v>61</v>
      </c>
      <c r="C543">
        <v>0</v>
      </c>
      <c r="D543">
        <v>1</v>
      </c>
      <c r="E543">
        <v>4</v>
      </c>
    </row>
    <row r="544" spans="1:5" x14ac:dyDescent="0.2">
      <c r="A544" t="s">
        <v>561</v>
      </c>
      <c r="B544" t="s">
        <v>23</v>
      </c>
      <c r="C544">
        <v>0</v>
      </c>
      <c r="D544">
        <v>1</v>
      </c>
      <c r="E544">
        <v>10</v>
      </c>
    </row>
    <row r="545" spans="1:5" x14ac:dyDescent="0.2">
      <c r="A545" t="s">
        <v>562</v>
      </c>
      <c r="B545" t="s">
        <v>23</v>
      </c>
      <c r="C545">
        <v>0</v>
      </c>
      <c r="D545">
        <v>0</v>
      </c>
      <c r="E545">
        <v>4</v>
      </c>
    </row>
    <row r="546" spans="1:5" x14ac:dyDescent="0.2">
      <c r="A546" t="s">
        <v>563</v>
      </c>
      <c r="B546" t="s">
        <v>11</v>
      </c>
      <c r="C546">
        <v>0</v>
      </c>
      <c r="D546">
        <v>1</v>
      </c>
      <c r="E546">
        <v>70</v>
      </c>
    </row>
    <row r="547" spans="1:5" x14ac:dyDescent="0.2">
      <c r="A547" t="s">
        <v>564</v>
      </c>
      <c r="B547" t="s">
        <v>23</v>
      </c>
      <c r="C547">
        <v>0</v>
      </c>
      <c r="D547">
        <v>1</v>
      </c>
      <c r="E547">
        <v>40</v>
      </c>
    </row>
    <row r="548" spans="1:5" x14ac:dyDescent="0.2">
      <c r="A548" t="s">
        <v>565</v>
      </c>
      <c r="B548" t="s">
        <v>28</v>
      </c>
      <c r="C548">
        <v>1</v>
      </c>
      <c r="D548">
        <v>1</v>
      </c>
      <c r="E548">
        <v>10</v>
      </c>
    </row>
    <row r="549" spans="1:5" x14ac:dyDescent="0.2">
      <c r="A549" t="s">
        <v>566</v>
      </c>
      <c r="B549" t="s">
        <v>40</v>
      </c>
      <c r="C549">
        <v>0</v>
      </c>
      <c r="D549">
        <v>0</v>
      </c>
      <c r="E549">
        <v>40</v>
      </c>
    </row>
    <row r="550" spans="1:5" x14ac:dyDescent="0.2">
      <c r="A550" t="s">
        <v>567</v>
      </c>
      <c r="B550" t="s">
        <v>37</v>
      </c>
      <c r="C550">
        <v>0</v>
      </c>
      <c r="D550">
        <v>0</v>
      </c>
      <c r="E550">
        <v>40</v>
      </c>
    </row>
    <row r="551" spans="1:5" x14ac:dyDescent="0.2">
      <c r="A551" t="s">
        <v>568</v>
      </c>
      <c r="B551" t="s">
        <v>17</v>
      </c>
      <c r="C551">
        <v>0</v>
      </c>
      <c r="D551">
        <v>0</v>
      </c>
      <c r="E551">
        <v>10</v>
      </c>
    </row>
    <row r="552" spans="1:5" x14ac:dyDescent="0.2">
      <c r="A552" t="s">
        <v>569</v>
      </c>
      <c r="B552" t="s">
        <v>6</v>
      </c>
      <c r="C552">
        <v>0</v>
      </c>
      <c r="D552">
        <v>1</v>
      </c>
      <c r="E552">
        <v>10</v>
      </c>
    </row>
    <row r="553" spans="1:5" x14ac:dyDescent="0.2">
      <c r="A553" t="s">
        <v>570</v>
      </c>
      <c r="B553" t="s">
        <v>8</v>
      </c>
      <c r="C553">
        <v>1</v>
      </c>
      <c r="D553">
        <v>1</v>
      </c>
      <c r="E553">
        <v>40</v>
      </c>
    </row>
    <row r="554" spans="1:5" x14ac:dyDescent="0.2">
      <c r="A554" t="s">
        <v>571</v>
      </c>
      <c r="B554" t="s">
        <v>6</v>
      </c>
      <c r="C554">
        <v>0</v>
      </c>
      <c r="D554">
        <v>1</v>
      </c>
      <c r="E554">
        <v>20</v>
      </c>
    </row>
    <row r="555" spans="1:5" x14ac:dyDescent="0.2">
      <c r="A555" t="s">
        <v>572</v>
      </c>
      <c r="B555" t="s">
        <v>53</v>
      </c>
      <c r="C555">
        <v>0</v>
      </c>
      <c r="D555">
        <v>1</v>
      </c>
      <c r="E555">
        <v>20</v>
      </c>
    </row>
    <row r="556" spans="1:5" x14ac:dyDescent="0.2">
      <c r="A556" t="s">
        <v>573</v>
      </c>
      <c r="B556" t="s">
        <v>23</v>
      </c>
      <c r="C556">
        <v>1</v>
      </c>
      <c r="D556">
        <v>1</v>
      </c>
      <c r="E556">
        <v>40</v>
      </c>
    </row>
    <row r="557" spans="1:5" x14ac:dyDescent="0.2">
      <c r="A557" t="s">
        <v>574</v>
      </c>
      <c r="B557" t="s">
        <v>23</v>
      </c>
      <c r="C557">
        <v>1</v>
      </c>
      <c r="D557">
        <v>0</v>
      </c>
      <c r="E557">
        <v>10</v>
      </c>
    </row>
    <row r="558" spans="1:5" x14ac:dyDescent="0.2">
      <c r="A558" t="s">
        <v>575</v>
      </c>
      <c r="B558" t="s">
        <v>61</v>
      </c>
      <c r="C558">
        <v>0</v>
      </c>
      <c r="D558">
        <v>0</v>
      </c>
      <c r="E558">
        <v>10</v>
      </c>
    </row>
    <row r="559" spans="1:5" x14ac:dyDescent="0.2">
      <c r="A559" t="s">
        <v>576</v>
      </c>
      <c r="B559" t="s">
        <v>23</v>
      </c>
      <c r="C559">
        <v>0</v>
      </c>
      <c r="D559">
        <v>1</v>
      </c>
      <c r="E559">
        <v>70</v>
      </c>
    </row>
    <row r="560" spans="1:5" x14ac:dyDescent="0.2">
      <c r="A560" t="s">
        <v>577</v>
      </c>
      <c r="B560" t="s">
        <v>11</v>
      </c>
      <c r="C560">
        <v>0</v>
      </c>
      <c r="D560">
        <v>0</v>
      </c>
      <c r="E560">
        <v>40</v>
      </c>
    </row>
    <row r="561" spans="1:5" x14ac:dyDescent="0.2">
      <c r="A561" t="s">
        <v>578</v>
      </c>
      <c r="B561" t="s">
        <v>40</v>
      </c>
      <c r="C561">
        <v>0</v>
      </c>
      <c r="D561">
        <v>1</v>
      </c>
      <c r="E561">
        <v>70</v>
      </c>
    </row>
    <row r="562" spans="1:5" x14ac:dyDescent="0.2">
      <c r="A562" t="s">
        <v>579</v>
      </c>
      <c r="B562" t="s">
        <v>17</v>
      </c>
      <c r="C562">
        <v>0</v>
      </c>
      <c r="D562">
        <v>1</v>
      </c>
      <c r="E562">
        <v>20</v>
      </c>
    </row>
    <row r="563" spans="1:5" x14ac:dyDescent="0.2">
      <c r="A563" t="s">
        <v>580</v>
      </c>
      <c r="B563" t="s">
        <v>11</v>
      </c>
      <c r="C563">
        <v>0</v>
      </c>
      <c r="D563">
        <v>1</v>
      </c>
      <c r="E563">
        <v>20</v>
      </c>
    </row>
    <row r="564" spans="1:5" x14ac:dyDescent="0.2">
      <c r="A564" t="s">
        <v>581</v>
      </c>
      <c r="B564" t="s">
        <v>28</v>
      </c>
      <c r="C564">
        <v>0</v>
      </c>
      <c r="D564">
        <v>1</v>
      </c>
      <c r="E564">
        <v>4</v>
      </c>
    </row>
    <row r="565" spans="1:5" x14ac:dyDescent="0.2">
      <c r="A565" t="s">
        <v>582</v>
      </c>
      <c r="B565" t="s">
        <v>46</v>
      </c>
      <c r="C565">
        <v>1</v>
      </c>
      <c r="D565">
        <v>1</v>
      </c>
      <c r="E565">
        <v>40</v>
      </c>
    </row>
    <row r="566" spans="1:5" x14ac:dyDescent="0.2">
      <c r="A566" t="s">
        <v>583</v>
      </c>
      <c r="B566" t="s">
        <v>15</v>
      </c>
      <c r="C566">
        <v>1</v>
      </c>
      <c r="D566">
        <v>0</v>
      </c>
      <c r="E566">
        <v>10</v>
      </c>
    </row>
    <row r="567" spans="1:5" x14ac:dyDescent="0.2">
      <c r="A567" t="s">
        <v>584</v>
      </c>
      <c r="B567" t="s">
        <v>13</v>
      </c>
      <c r="C567">
        <v>0</v>
      </c>
      <c r="D567">
        <v>0</v>
      </c>
      <c r="E567">
        <v>10</v>
      </c>
    </row>
    <row r="568" spans="1:5" x14ac:dyDescent="0.2">
      <c r="A568" t="s">
        <v>585</v>
      </c>
      <c r="B568" t="s">
        <v>13</v>
      </c>
      <c r="C568">
        <v>1</v>
      </c>
      <c r="D568">
        <v>1</v>
      </c>
      <c r="E568">
        <v>40</v>
      </c>
    </row>
    <row r="569" spans="1:5" x14ac:dyDescent="0.2">
      <c r="A569" t="s">
        <v>586</v>
      </c>
      <c r="B569" t="s">
        <v>46</v>
      </c>
      <c r="C569">
        <v>0</v>
      </c>
      <c r="D569">
        <v>1</v>
      </c>
      <c r="E569">
        <v>10</v>
      </c>
    </row>
    <row r="570" spans="1:5" x14ac:dyDescent="0.2">
      <c r="A570" t="s">
        <v>587</v>
      </c>
      <c r="B570" t="s">
        <v>46</v>
      </c>
      <c r="C570">
        <v>0</v>
      </c>
      <c r="D570">
        <v>1</v>
      </c>
      <c r="E570">
        <v>70</v>
      </c>
    </row>
    <row r="571" spans="1:5" x14ac:dyDescent="0.2">
      <c r="A571" t="s">
        <v>588</v>
      </c>
      <c r="B571" t="s">
        <v>26</v>
      </c>
      <c r="C571">
        <v>0</v>
      </c>
      <c r="D571">
        <v>0</v>
      </c>
      <c r="E571">
        <v>70</v>
      </c>
    </row>
    <row r="572" spans="1:5" x14ac:dyDescent="0.2">
      <c r="A572" t="s">
        <v>589</v>
      </c>
      <c r="B572" t="s">
        <v>46</v>
      </c>
      <c r="C572">
        <v>0</v>
      </c>
      <c r="D572">
        <v>1</v>
      </c>
      <c r="E572">
        <v>40</v>
      </c>
    </row>
    <row r="573" spans="1:5" x14ac:dyDescent="0.2">
      <c r="A573" t="s">
        <v>590</v>
      </c>
      <c r="B573" t="s">
        <v>23</v>
      </c>
      <c r="C573">
        <v>1</v>
      </c>
      <c r="D573">
        <v>1</v>
      </c>
      <c r="E573">
        <v>10</v>
      </c>
    </row>
    <row r="574" spans="1:5" x14ac:dyDescent="0.2">
      <c r="A574" t="s">
        <v>591</v>
      </c>
      <c r="B574" t="s">
        <v>61</v>
      </c>
      <c r="C574">
        <v>1</v>
      </c>
      <c r="D574">
        <v>0</v>
      </c>
      <c r="E574">
        <v>4</v>
      </c>
    </row>
    <row r="575" spans="1:5" x14ac:dyDescent="0.2">
      <c r="A575" t="s">
        <v>592</v>
      </c>
      <c r="B575" t="s">
        <v>61</v>
      </c>
      <c r="C575">
        <v>0</v>
      </c>
      <c r="D575">
        <v>1</v>
      </c>
      <c r="E575">
        <v>20</v>
      </c>
    </row>
    <row r="576" spans="1:5" x14ac:dyDescent="0.2">
      <c r="A576" t="s">
        <v>593</v>
      </c>
      <c r="B576" t="s">
        <v>13</v>
      </c>
      <c r="C576">
        <v>0</v>
      </c>
      <c r="D576">
        <v>1</v>
      </c>
      <c r="E576">
        <v>40</v>
      </c>
    </row>
    <row r="577" spans="1:5" x14ac:dyDescent="0.2">
      <c r="A577" t="s">
        <v>594</v>
      </c>
      <c r="B577" t="s">
        <v>37</v>
      </c>
      <c r="C577">
        <v>1</v>
      </c>
      <c r="D577">
        <v>1</v>
      </c>
      <c r="E577">
        <v>20</v>
      </c>
    </row>
    <row r="578" spans="1:5" x14ac:dyDescent="0.2">
      <c r="A578" t="s">
        <v>595</v>
      </c>
      <c r="B578" t="s">
        <v>11</v>
      </c>
      <c r="C578">
        <v>1</v>
      </c>
      <c r="D578">
        <v>1</v>
      </c>
      <c r="E578">
        <v>10</v>
      </c>
    </row>
    <row r="579" spans="1:5" x14ac:dyDescent="0.2">
      <c r="A579" t="s">
        <v>596</v>
      </c>
      <c r="B579" t="s">
        <v>15</v>
      </c>
      <c r="C579">
        <v>0</v>
      </c>
      <c r="D579">
        <v>0</v>
      </c>
      <c r="E579">
        <v>20</v>
      </c>
    </row>
    <row r="580" spans="1:5" x14ac:dyDescent="0.2">
      <c r="A580" t="s">
        <v>597</v>
      </c>
      <c r="B580" t="s">
        <v>8</v>
      </c>
      <c r="C580">
        <v>1</v>
      </c>
      <c r="D580">
        <v>1</v>
      </c>
      <c r="E580">
        <v>10</v>
      </c>
    </row>
    <row r="581" spans="1:5" x14ac:dyDescent="0.2">
      <c r="A581" t="s">
        <v>598</v>
      </c>
      <c r="B581" t="s">
        <v>19</v>
      </c>
      <c r="C581">
        <v>0</v>
      </c>
      <c r="D581">
        <v>0</v>
      </c>
      <c r="E581">
        <v>70</v>
      </c>
    </row>
    <row r="582" spans="1:5" x14ac:dyDescent="0.2">
      <c r="A582" t="s">
        <v>599</v>
      </c>
      <c r="B582" t="s">
        <v>6</v>
      </c>
      <c r="C582">
        <v>1</v>
      </c>
      <c r="D582">
        <v>0</v>
      </c>
      <c r="E582">
        <v>10</v>
      </c>
    </row>
    <row r="583" spans="1:5" x14ac:dyDescent="0.2">
      <c r="A583" t="s">
        <v>600</v>
      </c>
      <c r="B583" t="s">
        <v>6</v>
      </c>
      <c r="C583">
        <v>0</v>
      </c>
      <c r="D583">
        <v>1</v>
      </c>
      <c r="E583">
        <v>20</v>
      </c>
    </row>
    <row r="584" spans="1:5" x14ac:dyDescent="0.2">
      <c r="A584" t="s">
        <v>601</v>
      </c>
      <c r="B584" t="s">
        <v>15</v>
      </c>
      <c r="C584">
        <v>1</v>
      </c>
      <c r="D584">
        <v>0</v>
      </c>
      <c r="E584">
        <v>4</v>
      </c>
    </row>
    <row r="585" spans="1:5" x14ac:dyDescent="0.2">
      <c r="A585" t="s">
        <v>602</v>
      </c>
      <c r="B585" t="s">
        <v>11</v>
      </c>
      <c r="C585">
        <v>1</v>
      </c>
      <c r="D585">
        <v>1</v>
      </c>
      <c r="E585">
        <v>20</v>
      </c>
    </row>
    <row r="586" spans="1:5" x14ac:dyDescent="0.2">
      <c r="A586" t="s">
        <v>603</v>
      </c>
      <c r="B586" t="s">
        <v>26</v>
      </c>
      <c r="C586">
        <v>0</v>
      </c>
      <c r="D586">
        <v>0</v>
      </c>
      <c r="E586">
        <v>4</v>
      </c>
    </row>
    <row r="587" spans="1:5" x14ac:dyDescent="0.2">
      <c r="A587" t="s">
        <v>604</v>
      </c>
      <c r="B587" t="s">
        <v>8</v>
      </c>
      <c r="C587">
        <v>0</v>
      </c>
      <c r="D587">
        <v>1</v>
      </c>
      <c r="E587">
        <v>10</v>
      </c>
    </row>
    <row r="588" spans="1:5" x14ac:dyDescent="0.2">
      <c r="A588" t="s">
        <v>605</v>
      </c>
      <c r="B588" t="s">
        <v>53</v>
      </c>
      <c r="C588">
        <v>0</v>
      </c>
      <c r="D588">
        <v>0</v>
      </c>
      <c r="E588">
        <v>20</v>
      </c>
    </row>
    <row r="589" spans="1:5" x14ac:dyDescent="0.2">
      <c r="A589" t="s">
        <v>606</v>
      </c>
      <c r="B589" t="s">
        <v>26</v>
      </c>
      <c r="C589">
        <v>0</v>
      </c>
      <c r="D589">
        <v>0</v>
      </c>
      <c r="E589">
        <v>70</v>
      </c>
    </row>
    <row r="590" spans="1:5" x14ac:dyDescent="0.2">
      <c r="A590" t="s">
        <v>607</v>
      </c>
      <c r="B590" t="s">
        <v>46</v>
      </c>
      <c r="C590">
        <v>1</v>
      </c>
      <c r="D590">
        <v>1</v>
      </c>
      <c r="E590">
        <v>10</v>
      </c>
    </row>
    <row r="591" spans="1:5" x14ac:dyDescent="0.2">
      <c r="A591" t="s">
        <v>608</v>
      </c>
      <c r="B591" t="s">
        <v>28</v>
      </c>
      <c r="C591">
        <v>0</v>
      </c>
      <c r="D591">
        <v>0</v>
      </c>
      <c r="E591">
        <v>40</v>
      </c>
    </row>
    <row r="592" spans="1:5" x14ac:dyDescent="0.2">
      <c r="A592" t="s">
        <v>609</v>
      </c>
      <c r="B592" t="s">
        <v>37</v>
      </c>
      <c r="C592">
        <v>1</v>
      </c>
      <c r="D592">
        <v>1</v>
      </c>
      <c r="E592">
        <v>40</v>
      </c>
    </row>
    <row r="593" spans="1:5" x14ac:dyDescent="0.2">
      <c r="A593" t="s">
        <v>610</v>
      </c>
      <c r="B593" t="s">
        <v>37</v>
      </c>
      <c r="C593">
        <v>1</v>
      </c>
      <c r="D593">
        <v>1</v>
      </c>
      <c r="E593">
        <v>70</v>
      </c>
    </row>
    <row r="594" spans="1:5" x14ac:dyDescent="0.2">
      <c r="A594" t="s">
        <v>611</v>
      </c>
      <c r="B594" t="s">
        <v>40</v>
      </c>
      <c r="C594">
        <v>0</v>
      </c>
      <c r="D594">
        <v>0</v>
      </c>
      <c r="E594">
        <v>10</v>
      </c>
    </row>
    <row r="595" spans="1:5" x14ac:dyDescent="0.2">
      <c r="A595" t="s">
        <v>612</v>
      </c>
      <c r="B595" t="s">
        <v>11</v>
      </c>
      <c r="C595">
        <v>0</v>
      </c>
      <c r="D595">
        <v>1</v>
      </c>
      <c r="E595">
        <v>70</v>
      </c>
    </row>
    <row r="596" spans="1:5" x14ac:dyDescent="0.2">
      <c r="A596" t="s">
        <v>613</v>
      </c>
      <c r="B596" t="s">
        <v>28</v>
      </c>
      <c r="C596">
        <v>1</v>
      </c>
      <c r="D596">
        <v>1</v>
      </c>
      <c r="E596">
        <v>40</v>
      </c>
    </row>
    <row r="597" spans="1:5" x14ac:dyDescent="0.2">
      <c r="A597" t="s">
        <v>614</v>
      </c>
      <c r="B597" t="s">
        <v>17</v>
      </c>
      <c r="C597">
        <v>1</v>
      </c>
      <c r="D597">
        <v>0</v>
      </c>
      <c r="E597">
        <v>4</v>
      </c>
    </row>
    <row r="598" spans="1:5" x14ac:dyDescent="0.2">
      <c r="A598" t="s">
        <v>615</v>
      </c>
      <c r="B598" t="s">
        <v>6</v>
      </c>
      <c r="C598">
        <v>0</v>
      </c>
      <c r="D598">
        <v>1</v>
      </c>
      <c r="E598">
        <v>4</v>
      </c>
    </row>
    <row r="599" spans="1:5" x14ac:dyDescent="0.2">
      <c r="A599" t="s">
        <v>616</v>
      </c>
      <c r="B599" t="s">
        <v>26</v>
      </c>
      <c r="C599">
        <v>0</v>
      </c>
      <c r="D599">
        <v>1</v>
      </c>
      <c r="E599">
        <v>70</v>
      </c>
    </row>
    <row r="600" spans="1:5" x14ac:dyDescent="0.2">
      <c r="A600" t="s">
        <v>617</v>
      </c>
      <c r="B600" t="s">
        <v>11</v>
      </c>
      <c r="C600">
        <v>0</v>
      </c>
      <c r="D600">
        <v>0</v>
      </c>
      <c r="E600">
        <v>10</v>
      </c>
    </row>
    <row r="601" spans="1:5" x14ac:dyDescent="0.2">
      <c r="A601" t="s">
        <v>618</v>
      </c>
      <c r="B601" t="s">
        <v>8</v>
      </c>
      <c r="C601">
        <v>1</v>
      </c>
      <c r="D601">
        <v>1</v>
      </c>
      <c r="E601">
        <v>40</v>
      </c>
    </row>
    <row r="602" spans="1:5" x14ac:dyDescent="0.2">
      <c r="A602" t="s">
        <v>619</v>
      </c>
      <c r="B602" t="s">
        <v>37</v>
      </c>
      <c r="C602">
        <v>0</v>
      </c>
      <c r="D602">
        <v>1</v>
      </c>
      <c r="E602">
        <v>40</v>
      </c>
    </row>
    <row r="603" spans="1:5" x14ac:dyDescent="0.2">
      <c r="A603" t="s">
        <v>620</v>
      </c>
      <c r="B603" t="s">
        <v>53</v>
      </c>
      <c r="C603">
        <v>1</v>
      </c>
      <c r="D603">
        <v>1</v>
      </c>
      <c r="E603">
        <v>10</v>
      </c>
    </row>
    <row r="604" spans="1:5" x14ac:dyDescent="0.2">
      <c r="A604" t="s">
        <v>621</v>
      </c>
      <c r="B604" t="s">
        <v>46</v>
      </c>
      <c r="C604">
        <v>1</v>
      </c>
      <c r="D604">
        <v>1</v>
      </c>
      <c r="E604">
        <v>20</v>
      </c>
    </row>
    <row r="605" spans="1:5" x14ac:dyDescent="0.2">
      <c r="A605" t="s">
        <v>622</v>
      </c>
      <c r="B605" t="s">
        <v>37</v>
      </c>
      <c r="C605">
        <v>1</v>
      </c>
      <c r="D605">
        <v>0</v>
      </c>
      <c r="E605">
        <v>40</v>
      </c>
    </row>
    <row r="606" spans="1:5" x14ac:dyDescent="0.2">
      <c r="A606" t="s">
        <v>623</v>
      </c>
      <c r="B606" t="s">
        <v>6</v>
      </c>
      <c r="C606">
        <v>0</v>
      </c>
      <c r="D606">
        <v>0</v>
      </c>
      <c r="E606">
        <v>40</v>
      </c>
    </row>
    <row r="607" spans="1:5" x14ac:dyDescent="0.2">
      <c r="A607" t="s">
        <v>624</v>
      </c>
      <c r="B607" t="s">
        <v>15</v>
      </c>
      <c r="C607">
        <v>1</v>
      </c>
      <c r="D607">
        <v>0</v>
      </c>
      <c r="E607">
        <v>10</v>
      </c>
    </row>
    <row r="608" spans="1:5" x14ac:dyDescent="0.2">
      <c r="A608" t="s">
        <v>625</v>
      </c>
      <c r="B608" t="s">
        <v>19</v>
      </c>
      <c r="C608">
        <v>1</v>
      </c>
      <c r="D608">
        <v>1</v>
      </c>
      <c r="E608">
        <v>10</v>
      </c>
    </row>
    <row r="609" spans="1:5" x14ac:dyDescent="0.2">
      <c r="A609" t="s">
        <v>626</v>
      </c>
      <c r="B609" t="s">
        <v>40</v>
      </c>
      <c r="C609">
        <v>1</v>
      </c>
      <c r="D609">
        <v>1</v>
      </c>
      <c r="E609">
        <v>4</v>
      </c>
    </row>
    <row r="610" spans="1:5" x14ac:dyDescent="0.2">
      <c r="A610" t="s">
        <v>627</v>
      </c>
      <c r="B610" t="s">
        <v>23</v>
      </c>
      <c r="C610">
        <v>1</v>
      </c>
      <c r="D610">
        <v>1</v>
      </c>
      <c r="E610">
        <v>10</v>
      </c>
    </row>
    <row r="611" spans="1:5" x14ac:dyDescent="0.2">
      <c r="A611" t="s">
        <v>628</v>
      </c>
      <c r="B611" t="s">
        <v>40</v>
      </c>
      <c r="C611">
        <v>0</v>
      </c>
      <c r="D611">
        <v>1</v>
      </c>
      <c r="E611">
        <v>10</v>
      </c>
    </row>
    <row r="612" spans="1:5" x14ac:dyDescent="0.2">
      <c r="A612" t="s">
        <v>629</v>
      </c>
      <c r="B612" t="s">
        <v>8</v>
      </c>
      <c r="C612">
        <v>1</v>
      </c>
      <c r="D612">
        <v>1</v>
      </c>
      <c r="E612">
        <v>4</v>
      </c>
    </row>
    <row r="613" spans="1:5" x14ac:dyDescent="0.2">
      <c r="A613" t="s">
        <v>630</v>
      </c>
      <c r="B613" t="s">
        <v>28</v>
      </c>
      <c r="C613">
        <v>1</v>
      </c>
      <c r="D613">
        <v>1</v>
      </c>
      <c r="E613">
        <v>10</v>
      </c>
    </row>
    <row r="614" spans="1:5" x14ac:dyDescent="0.2">
      <c r="A614" t="s">
        <v>631</v>
      </c>
      <c r="B614" t="s">
        <v>23</v>
      </c>
      <c r="C614">
        <v>0</v>
      </c>
      <c r="D614">
        <v>1</v>
      </c>
      <c r="E614">
        <v>40</v>
      </c>
    </row>
    <row r="615" spans="1:5" x14ac:dyDescent="0.2">
      <c r="A615" t="s">
        <v>632</v>
      </c>
      <c r="B615" t="s">
        <v>6</v>
      </c>
      <c r="C615">
        <v>0</v>
      </c>
      <c r="D615">
        <v>1</v>
      </c>
      <c r="E615">
        <v>70</v>
      </c>
    </row>
    <row r="616" spans="1:5" x14ac:dyDescent="0.2">
      <c r="A616" t="s">
        <v>633</v>
      </c>
      <c r="B616" t="s">
        <v>23</v>
      </c>
      <c r="C616">
        <v>0</v>
      </c>
      <c r="D616">
        <v>0</v>
      </c>
      <c r="E616">
        <v>20</v>
      </c>
    </row>
    <row r="617" spans="1:5" x14ac:dyDescent="0.2">
      <c r="A617" t="s">
        <v>634</v>
      </c>
      <c r="B617" t="s">
        <v>46</v>
      </c>
      <c r="C617">
        <v>1</v>
      </c>
      <c r="D617">
        <v>1</v>
      </c>
      <c r="E617">
        <v>20</v>
      </c>
    </row>
    <row r="618" spans="1:5" x14ac:dyDescent="0.2">
      <c r="A618" t="s">
        <v>635</v>
      </c>
      <c r="B618" t="s">
        <v>26</v>
      </c>
      <c r="C618">
        <v>0</v>
      </c>
      <c r="D618">
        <v>1</v>
      </c>
      <c r="E618">
        <v>10</v>
      </c>
    </row>
    <row r="619" spans="1:5" x14ac:dyDescent="0.2">
      <c r="A619" t="s">
        <v>636</v>
      </c>
      <c r="B619" t="s">
        <v>37</v>
      </c>
      <c r="C619">
        <v>0</v>
      </c>
      <c r="D619">
        <v>1</v>
      </c>
      <c r="E619">
        <v>10</v>
      </c>
    </row>
    <row r="620" spans="1:5" x14ac:dyDescent="0.2">
      <c r="A620" t="s">
        <v>637</v>
      </c>
      <c r="B620" t="s">
        <v>26</v>
      </c>
      <c r="C620">
        <v>1</v>
      </c>
      <c r="D620">
        <v>0</v>
      </c>
      <c r="E620">
        <v>4</v>
      </c>
    </row>
    <row r="621" spans="1:5" x14ac:dyDescent="0.2">
      <c r="A621" t="s">
        <v>638</v>
      </c>
      <c r="B621" t="s">
        <v>6</v>
      </c>
      <c r="C621">
        <v>1</v>
      </c>
      <c r="D621">
        <v>1</v>
      </c>
      <c r="E621">
        <v>70</v>
      </c>
    </row>
    <row r="622" spans="1:5" x14ac:dyDescent="0.2">
      <c r="A622" t="s">
        <v>639</v>
      </c>
      <c r="B622" t="s">
        <v>15</v>
      </c>
      <c r="C622">
        <v>0</v>
      </c>
      <c r="D622">
        <v>0</v>
      </c>
      <c r="E622">
        <v>40</v>
      </c>
    </row>
    <row r="623" spans="1:5" x14ac:dyDescent="0.2">
      <c r="A623" t="s">
        <v>640</v>
      </c>
      <c r="B623" t="s">
        <v>17</v>
      </c>
      <c r="C623">
        <v>0</v>
      </c>
      <c r="D623">
        <v>0</v>
      </c>
      <c r="E623">
        <v>20</v>
      </c>
    </row>
    <row r="624" spans="1:5" x14ac:dyDescent="0.2">
      <c r="A624" t="s">
        <v>641</v>
      </c>
      <c r="B624" t="s">
        <v>19</v>
      </c>
      <c r="C624">
        <v>1</v>
      </c>
      <c r="D624">
        <v>1</v>
      </c>
      <c r="E624">
        <v>4</v>
      </c>
    </row>
    <row r="625" spans="1:5" x14ac:dyDescent="0.2">
      <c r="A625" t="s">
        <v>642</v>
      </c>
      <c r="B625" t="s">
        <v>11</v>
      </c>
      <c r="C625">
        <v>1</v>
      </c>
      <c r="D625">
        <v>1</v>
      </c>
      <c r="E625">
        <v>4</v>
      </c>
    </row>
    <row r="626" spans="1:5" x14ac:dyDescent="0.2">
      <c r="A626" t="s">
        <v>643</v>
      </c>
      <c r="B626" t="s">
        <v>53</v>
      </c>
      <c r="C626">
        <v>0</v>
      </c>
      <c r="D626">
        <v>0</v>
      </c>
      <c r="E626">
        <v>10</v>
      </c>
    </row>
    <row r="627" spans="1:5" x14ac:dyDescent="0.2">
      <c r="A627" t="s">
        <v>644</v>
      </c>
      <c r="B627" t="s">
        <v>15</v>
      </c>
      <c r="C627">
        <v>0</v>
      </c>
      <c r="D627">
        <v>1</v>
      </c>
      <c r="E627">
        <v>4</v>
      </c>
    </row>
    <row r="628" spans="1:5" x14ac:dyDescent="0.2">
      <c r="A628" t="s">
        <v>645</v>
      </c>
      <c r="B628" t="s">
        <v>17</v>
      </c>
      <c r="C628">
        <v>0</v>
      </c>
      <c r="D628">
        <v>1</v>
      </c>
      <c r="E628">
        <v>40</v>
      </c>
    </row>
    <row r="629" spans="1:5" x14ac:dyDescent="0.2">
      <c r="A629" t="s">
        <v>646</v>
      </c>
      <c r="B629" t="s">
        <v>61</v>
      </c>
      <c r="C629">
        <v>1</v>
      </c>
      <c r="D629">
        <v>1</v>
      </c>
      <c r="E629">
        <v>10</v>
      </c>
    </row>
    <row r="630" spans="1:5" x14ac:dyDescent="0.2">
      <c r="A630" t="s">
        <v>647</v>
      </c>
      <c r="B630" t="s">
        <v>40</v>
      </c>
      <c r="C630">
        <v>1</v>
      </c>
      <c r="D630">
        <v>0</v>
      </c>
      <c r="E630">
        <v>40</v>
      </c>
    </row>
    <row r="631" spans="1:5" x14ac:dyDescent="0.2">
      <c r="A631" t="s">
        <v>648</v>
      </c>
      <c r="B631" t="s">
        <v>61</v>
      </c>
      <c r="C631">
        <v>1</v>
      </c>
      <c r="D631">
        <v>1</v>
      </c>
      <c r="E631">
        <v>70</v>
      </c>
    </row>
    <row r="632" spans="1:5" x14ac:dyDescent="0.2">
      <c r="A632" t="s">
        <v>649</v>
      </c>
      <c r="B632" t="s">
        <v>46</v>
      </c>
      <c r="C632">
        <v>1</v>
      </c>
      <c r="D632">
        <v>1</v>
      </c>
      <c r="E632">
        <v>40</v>
      </c>
    </row>
    <row r="633" spans="1:5" x14ac:dyDescent="0.2">
      <c r="A633" t="s">
        <v>650</v>
      </c>
      <c r="B633" t="s">
        <v>40</v>
      </c>
      <c r="C633">
        <v>0</v>
      </c>
      <c r="D633">
        <v>0</v>
      </c>
      <c r="E633">
        <v>10</v>
      </c>
    </row>
    <row r="634" spans="1:5" x14ac:dyDescent="0.2">
      <c r="A634" t="s">
        <v>651</v>
      </c>
      <c r="B634" t="s">
        <v>11</v>
      </c>
      <c r="C634">
        <v>1</v>
      </c>
      <c r="D634">
        <v>1</v>
      </c>
      <c r="E634">
        <v>20</v>
      </c>
    </row>
    <row r="635" spans="1:5" x14ac:dyDescent="0.2">
      <c r="A635" t="s">
        <v>652</v>
      </c>
      <c r="B635" t="s">
        <v>28</v>
      </c>
      <c r="C635">
        <v>1</v>
      </c>
      <c r="D635">
        <v>0</v>
      </c>
      <c r="E635">
        <v>20</v>
      </c>
    </row>
    <row r="636" spans="1:5" x14ac:dyDescent="0.2">
      <c r="A636" t="s">
        <v>653</v>
      </c>
      <c r="B636" t="s">
        <v>8</v>
      </c>
      <c r="C636">
        <v>1</v>
      </c>
      <c r="D636">
        <v>1</v>
      </c>
      <c r="E636">
        <v>4</v>
      </c>
    </row>
    <row r="637" spans="1:5" x14ac:dyDescent="0.2">
      <c r="A637" t="s">
        <v>654</v>
      </c>
      <c r="B637" t="s">
        <v>19</v>
      </c>
      <c r="C637">
        <v>0</v>
      </c>
      <c r="D637">
        <v>1</v>
      </c>
      <c r="E637">
        <v>70</v>
      </c>
    </row>
    <row r="638" spans="1:5" x14ac:dyDescent="0.2">
      <c r="A638" t="s">
        <v>655</v>
      </c>
      <c r="B638" t="s">
        <v>53</v>
      </c>
      <c r="C638">
        <v>1</v>
      </c>
      <c r="D638">
        <v>1</v>
      </c>
      <c r="E638">
        <v>10</v>
      </c>
    </row>
    <row r="639" spans="1:5" x14ac:dyDescent="0.2">
      <c r="A639" t="s">
        <v>656</v>
      </c>
      <c r="B639" t="s">
        <v>53</v>
      </c>
      <c r="C639">
        <v>1</v>
      </c>
      <c r="D639">
        <v>1</v>
      </c>
      <c r="E639">
        <v>20</v>
      </c>
    </row>
    <row r="640" spans="1:5" x14ac:dyDescent="0.2">
      <c r="A640" t="s">
        <v>657</v>
      </c>
      <c r="B640" t="s">
        <v>13</v>
      </c>
      <c r="C640">
        <v>1</v>
      </c>
      <c r="D640">
        <v>1</v>
      </c>
      <c r="E640">
        <v>70</v>
      </c>
    </row>
    <row r="641" spans="1:5" x14ac:dyDescent="0.2">
      <c r="A641" t="s">
        <v>658</v>
      </c>
      <c r="B641" t="s">
        <v>17</v>
      </c>
      <c r="C641">
        <v>0</v>
      </c>
      <c r="D641">
        <v>0</v>
      </c>
      <c r="E641">
        <v>4</v>
      </c>
    </row>
    <row r="642" spans="1:5" x14ac:dyDescent="0.2">
      <c r="A642" t="s">
        <v>659</v>
      </c>
      <c r="B642" t="s">
        <v>6</v>
      </c>
      <c r="C642">
        <v>1</v>
      </c>
      <c r="D642">
        <v>1</v>
      </c>
      <c r="E642">
        <v>4</v>
      </c>
    </row>
    <row r="643" spans="1:5" x14ac:dyDescent="0.2">
      <c r="A643" t="s">
        <v>660</v>
      </c>
      <c r="B643" t="s">
        <v>6</v>
      </c>
      <c r="C643">
        <v>0</v>
      </c>
      <c r="D643">
        <v>1</v>
      </c>
      <c r="E643">
        <v>40</v>
      </c>
    </row>
    <row r="644" spans="1:5" x14ac:dyDescent="0.2">
      <c r="A644" t="s">
        <v>661</v>
      </c>
      <c r="B644" t="s">
        <v>28</v>
      </c>
      <c r="C644">
        <v>0</v>
      </c>
      <c r="D644">
        <v>0</v>
      </c>
      <c r="E644">
        <v>40</v>
      </c>
    </row>
    <row r="645" spans="1:5" x14ac:dyDescent="0.2">
      <c r="A645" t="s">
        <v>662</v>
      </c>
      <c r="B645" t="s">
        <v>40</v>
      </c>
      <c r="C645">
        <v>0</v>
      </c>
      <c r="D645">
        <v>1</v>
      </c>
      <c r="E645">
        <v>40</v>
      </c>
    </row>
    <row r="646" spans="1:5" x14ac:dyDescent="0.2">
      <c r="A646" t="s">
        <v>663</v>
      </c>
      <c r="B646" t="s">
        <v>61</v>
      </c>
      <c r="C646">
        <v>1</v>
      </c>
      <c r="D646">
        <v>0</v>
      </c>
      <c r="E646">
        <v>4</v>
      </c>
    </row>
    <row r="647" spans="1:5" x14ac:dyDescent="0.2">
      <c r="A647" t="s">
        <v>664</v>
      </c>
      <c r="B647" t="s">
        <v>46</v>
      </c>
      <c r="C647">
        <v>0</v>
      </c>
      <c r="D647">
        <v>1</v>
      </c>
      <c r="E647">
        <v>40</v>
      </c>
    </row>
    <row r="648" spans="1:5" x14ac:dyDescent="0.2">
      <c r="A648" t="s">
        <v>665</v>
      </c>
      <c r="B648" t="s">
        <v>11</v>
      </c>
      <c r="C648">
        <v>1</v>
      </c>
      <c r="D648">
        <v>1</v>
      </c>
      <c r="E648">
        <v>20</v>
      </c>
    </row>
    <row r="649" spans="1:5" x14ac:dyDescent="0.2">
      <c r="A649" t="s">
        <v>666</v>
      </c>
      <c r="B649" t="s">
        <v>28</v>
      </c>
      <c r="C649">
        <v>0</v>
      </c>
      <c r="D649">
        <v>1</v>
      </c>
      <c r="E649">
        <v>20</v>
      </c>
    </row>
    <row r="650" spans="1:5" x14ac:dyDescent="0.2">
      <c r="A650" t="s">
        <v>667</v>
      </c>
      <c r="B650" t="s">
        <v>26</v>
      </c>
      <c r="C650">
        <v>0</v>
      </c>
      <c r="D650">
        <v>1</v>
      </c>
      <c r="E650">
        <v>40</v>
      </c>
    </row>
    <row r="651" spans="1:5" x14ac:dyDescent="0.2">
      <c r="A651" t="s">
        <v>668</v>
      </c>
      <c r="B651" t="s">
        <v>23</v>
      </c>
      <c r="C651">
        <v>0</v>
      </c>
      <c r="D651">
        <v>0</v>
      </c>
      <c r="E651">
        <v>4</v>
      </c>
    </row>
    <row r="652" spans="1:5" x14ac:dyDescent="0.2">
      <c r="A652" t="s">
        <v>669</v>
      </c>
      <c r="B652" t="s">
        <v>40</v>
      </c>
      <c r="C652">
        <v>0</v>
      </c>
      <c r="D652">
        <v>0</v>
      </c>
      <c r="E652">
        <v>40</v>
      </c>
    </row>
    <row r="653" spans="1:5" x14ac:dyDescent="0.2">
      <c r="A653" t="s">
        <v>670</v>
      </c>
      <c r="B653" t="s">
        <v>19</v>
      </c>
      <c r="C653">
        <v>0</v>
      </c>
      <c r="D653">
        <v>0</v>
      </c>
      <c r="E653">
        <v>4</v>
      </c>
    </row>
    <row r="654" spans="1:5" x14ac:dyDescent="0.2">
      <c r="A654" t="s">
        <v>671</v>
      </c>
      <c r="B654" t="s">
        <v>40</v>
      </c>
      <c r="C654">
        <v>1</v>
      </c>
      <c r="D654">
        <v>1</v>
      </c>
      <c r="E654">
        <v>40</v>
      </c>
    </row>
    <row r="655" spans="1:5" x14ac:dyDescent="0.2">
      <c r="A655" t="s">
        <v>672</v>
      </c>
      <c r="B655" t="s">
        <v>28</v>
      </c>
      <c r="C655">
        <v>1</v>
      </c>
      <c r="D655">
        <v>1</v>
      </c>
      <c r="E655">
        <v>10</v>
      </c>
    </row>
    <row r="656" spans="1:5" x14ac:dyDescent="0.2">
      <c r="A656" t="s">
        <v>673</v>
      </c>
      <c r="B656" t="s">
        <v>23</v>
      </c>
      <c r="C656">
        <v>0</v>
      </c>
      <c r="D656">
        <v>0</v>
      </c>
      <c r="E656">
        <v>70</v>
      </c>
    </row>
    <row r="657" spans="1:5" x14ac:dyDescent="0.2">
      <c r="A657" t="s">
        <v>674</v>
      </c>
      <c r="B657" t="s">
        <v>61</v>
      </c>
      <c r="C657">
        <v>1</v>
      </c>
      <c r="D657">
        <v>1</v>
      </c>
      <c r="E657">
        <v>20</v>
      </c>
    </row>
    <row r="658" spans="1:5" x14ac:dyDescent="0.2">
      <c r="A658" t="s">
        <v>675</v>
      </c>
      <c r="B658" t="s">
        <v>37</v>
      </c>
      <c r="C658">
        <v>1</v>
      </c>
      <c r="D658">
        <v>1</v>
      </c>
      <c r="E658">
        <v>4</v>
      </c>
    </row>
    <row r="659" spans="1:5" x14ac:dyDescent="0.2">
      <c r="A659" t="s">
        <v>676</v>
      </c>
      <c r="B659" t="s">
        <v>61</v>
      </c>
      <c r="C659">
        <v>0</v>
      </c>
      <c r="D659">
        <v>1</v>
      </c>
      <c r="E659">
        <v>4</v>
      </c>
    </row>
    <row r="660" spans="1:5" x14ac:dyDescent="0.2">
      <c r="A660" t="s">
        <v>677</v>
      </c>
      <c r="B660" t="s">
        <v>11</v>
      </c>
      <c r="C660">
        <v>1</v>
      </c>
      <c r="D660">
        <v>1</v>
      </c>
      <c r="E660">
        <v>10</v>
      </c>
    </row>
    <row r="661" spans="1:5" x14ac:dyDescent="0.2">
      <c r="A661" t="s">
        <v>678</v>
      </c>
      <c r="B661" t="s">
        <v>11</v>
      </c>
      <c r="C661">
        <v>1</v>
      </c>
      <c r="D661">
        <v>1</v>
      </c>
      <c r="E661">
        <v>10</v>
      </c>
    </row>
    <row r="662" spans="1:5" x14ac:dyDescent="0.2">
      <c r="A662" t="s">
        <v>679</v>
      </c>
      <c r="B662" t="s">
        <v>26</v>
      </c>
      <c r="C662">
        <v>0</v>
      </c>
      <c r="D662">
        <v>1</v>
      </c>
      <c r="E662">
        <v>70</v>
      </c>
    </row>
    <row r="663" spans="1:5" x14ac:dyDescent="0.2">
      <c r="A663" t="s">
        <v>680</v>
      </c>
      <c r="B663" t="s">
        <v>28</v>
      </c>
      <c r="C663">
        <v>1</v>
      </c>
      <c r="D663">
        <v>1</v>
      </c>
      <c r="E663">
        <v>40</v>
      </c>
    </row>
    <row r="664" spans="1:5" x14ac:dyDescent="0.2">
      <c r="A664" t="s">
        <v>681</v>
      </c>
      <c r="B664" t="s">
        <v>15</v>
      </c>
      <c r="C664">
        <v>0</v>
      </c>
      <c r="D664">
        <v>0</v>
      </c>
      <c r="E664">
        <v>70</v>
      </c>
    </row>
    <row r="665" spans="1:5" x14ac:dyDescent="0.2">
      <c r="A665" t="s">
        <v>682</v>
      </c>
      <c r="B665" t="s">
        <v>17</v>
      </c>
      <c r="C665">
        <v>1</v>
      </c>
      <c r="D665">
        <v>1</v>
      </c>
      <c r="E665">
        <v>20</v>
      </c>
    </row>
    <row r="666" spans="1:5" x14ac:dyDescent="0.2">
      <c r="A666" t="s">
        <v>683</v>
      </c>
      <c r="B666" t="s">
        <v>40</v>
      </c>
      <c r="C666">
        <v>0</v>
      </c>
      <c r="D666">
        <v>1</v>
      </c>
      <c r="E666">
        <v>4</v>
      </c>
    </row>
    <row r="667" spans="1:5" x14ac:dyDescent="0.2">
      <c r="A667" t="s">
        <v>684</v>
      </c>
      <c r="B667" t="s">
        <v>28</v>
      </c>
      <c r="C667">
        <v>1</v>
      </c>
      <c r="D667">
        <v>1</v>
      </c>
      <c r="E667">
        <v>40</v>
      </c>
    </row>
    <row r="668" spans="1:5" x14ac:dyDescent="0.2">
      <c r="A668" t="s">
        <v>685</v>
      </c>
      <c r="B668" t="s">
        <v>23</v>
      </c>
      <c r="C668">
        <v>0</v>
      </c>
      <c r="D668">
        <v>0</v>
      </c>
      <c r="E668">
        <v>4</v>
      </c>
    </row>
    <row r="669" spans="1:5" x14ac:dyDescent="0.2">
      <c r="A669" t="s">
        <v>686</v>
      </c>
      <c r="B669" t="s">
        <v>6</v>
      </c>
      <c r="C669">
        <v>0</v>
      </c>
      <c r="D669">
        <v>1</v>
      </c>
      <c r="E669">
        <v>4</v>
      </c>
    </row>
    <row r="670" spans="1:5" x14ac:dyDescent="0.2">
      <c r="A670" t="s">
        <v>687</v>
      </c>
      <c r="B670" t="s">
        <v>11</v>
      </c>
      <c r="C670">
        <v>1</v>
      </c>
      <c r="D670">
        <v>1</v>
      </c>
      <c r="E670">
        <v>10</v>
      </c>
    </row>
    <row r="671" spans="1:5" x14ac:dyDescent="0.2">
      <c r="A671" t="s">
        <v>688</v>
      </c>
      <c r="B671" t="s">
        <v>37</v>
      </c>
      <c r="C671">
        <v>0</v>
      </c>
      <c r="D671">
        <v>1</v>
      </c>
      <c r="E671">
        <v>10</v>
      </c>
    </row>
    <row r="672" spans="1:5" x14ac:dyDescent="0.2">
      <c r="A672" t="s">
        <v>689</v>
      </c>
      <c r="B672" t="s">
        <v>61</v>
      </c>
      <c r="C672">
        <v>0</v>
      </c>
      <c r="D672">
        <v>1</v>
      </c>
      <c r="E672">
        <v>4</v>
      </c>
    </row>
    <row r="673" spans="1:5" x14ac:dyDescent="0.2">
      <c r="A673" t="s">
        <v>690</v>
      </c>
      <c r="B673" t="s">
        <v>11</v>
      </c>
      <c r="C673">
        <v>1</v>
      </c>
      <c r="D673">
        <v>0</v>
      </c>
      <c r="E673">
        <v>10</v>
      </c>
    </row>
    <row r="674" spans="1:5" x14ac:dyDescent="0.2">
      <c r="A674" t="s">
        <v>691</v>
      </c>
      <c r="B674" t="s">
        <v>11</v>
      </c>
      <c r="C674">
        <v>0</v>
      </c>
      <c r="D674">
        <v>1</v>
      </c>
      <c r="E674">
        <v>4</v>
      </c>
    </row>
    <row r="675" spans="1:5" x14ac:dyDescent="0.2">
      <c r="A675" t="s">
        <v>692</v>
      </c>
      <c r="B675" t="s">
        <v>17</v>
      </c>
      <c r="C675">
        <v>1</v>
      </c>
      <c r="D675">
        <v>1</v>
      </c>
      <c r="E675">
        <v>10</v>
      </c>
    </row>
    <row r="676" spans="1:5" x14ac:dyDescent="0.2">
      <c r="A676" t="s">
        <v>693</v>
      </c>
      <c r="B676" t="s">
        <v>11</v>
      </c>
      <c r="C676">
        <v>1</v>
      </c>
      <c r="D676">
        <v>1</v>
      </c>
      <c r="E676">
        <v>40</v>
      </c>
    </row>
    <row r="677" spans="1:5" x14ac:dyDescent="0.2">
      <c r="A677" t="s">
        <v>694</v>
      </c>
      <c r="B677" t="s">
        <v>53</v>
      </c>
      <c r="C677">
        <v>1</v>
      </c>
      <c r="D677">
        <v>1</v>
      </c>
      <c r="E677">
        <v>40</v>
      </c>
    </row>
    <row r="678" spans="1:5" x14ac:dyDescent="0.2">
      <c r="A678" t="s">
        <v>695</v>
      </c>
      <c r="B678" t="s">
        <v>40</v>
      </c>
      <c r="C678">
        <v>0</v>
      </c>
      <c r="D678">
        <v>1</v>
      </c>
      <c r="E678">
        <v>10</v>
      </c>
    </row>
    <row r="679" spans="1:5" x14ac:dyDescent="0.2">
      <c r="A679" t="s">
        <v>578</v>
      </c>
      <c r="B679" t="s">
        <v>40</v>
      </c>
      <c r="C679">
        <v>1</v>
      </c>
      <c r="D679">
        <v>1</v>
      </c>
      <c r="E679">
        <v>70</v>
      </c>
    </row>
    <row r="680" spans="1:5" x14ac:dyDescent="0.2">
      <c r="A680" t="s">
        <v>696</v>
      </c>
      <c r="B680" t="s">
        <v>46</v>
      </c>
      <c r="C680">
        <v>0</v>
      </c>
      <c r="D680">
        <v>1</v>
      </c>
      <c r="E680">
        <v>40</v>
      </c>
    </row>
    <row r="681" spans="1:5" x14ac:dyDescent="0.2">
      <c r="A681" t="s">
        <v>697</v>
      </c>
      <c r="B681" t="s">
        <v>61</v>
      </c>
      <c r="C681">
        <v>0</v>
      </c>
      <c r="D681">
        <v>0</v>
      </c>
      <c r="E681">
        <v>20</v>
      </c>
    </row>
    <row r="682" spans="1:5" x14ac:dyDescent="0.2">
      <c r="A682" t="s">
        <v>698</v>
      </c>
      <c r="B682" t="s">
        <v>6</v>
      </c>
      <c r="C682">
        <v>0</v>
      </c>
      <c r="D682">
        <v>0</v>
      </c>
      <c r="E682">
        <v>70</v>
      </c>
    </row>
    <row r="683" spans="1:5" x14ac:dyDescent="0.2">
      <c r="A683" t="s">
        <v>699</v>
      </c>
      <c r="B683" t="s">
        <v>17</v>
      </c>
      <c r="C683">
        <v>0</v>
      </c>
      <c r="D683">
        <v>1</v>
      </c>
      <c r="E683">
        <v>20</v>
      </c>
    </row>
    <row r="684" spans="1:5" x14ac:dyDescent="0.2">
      <c r="A684" t="s">
        <v>700</v>
      </c>
      <c r="B684" t="s">
        <v>23</v>
      </c>
      <c r="C684">
        <v>1</v>
      </c>
      <c r="D684">
        <v>1</v>
      </c>
      <c r="E684">
        <v>4</v>
      </c>
    </row>
    <row r="685" spans="1:5" x14ac:dyDescent="0.2">
      <c r="A685" t="s">
        <v>701</v>
      </c>
      <c r="B685" t="s">
        <v>61</v>
      </c>
      <c r="C685">
        <v>0</v>
      </c>
      <c r="D685">
        <v>1</v>
      </c>
      <c r="E685">
        <v>20</v>
      </c>
    </row>
    <row r="686" spans="1:5" x14ac:dyDescent="0.2">
      <c r="A686" t="s">
        <v>702</v>
      </c>
      <c r="B686" t="s">
        <v>11</v>
      </c>
      <c r="C686">
        <v>1</v>
      </c>
      <c r="D686">
        <v>1</v>
      </c>
      <c r="E686">
        <v>4</v>
      </c>
    </row>
    <row r="687" spans="1:5" x14ac:dyDescent="0.2">
      <c r="A687" t="s">
        <v>703</v>
      </c>
      <c r="B687" t="s">
        <v>15</v>
      </c>
      <c r="C687">
        <v>1</v>
      </c>
      <c r="D687">
        <v>1</v>
      </c>
      <c r="E687">
        <v>4</v>
      </c>
    </row>
    <row r="688" spans="1:5" x14ac:dyDescent="0.2">
      <c r="A688" t="s">
        <v>704</v>
      </c>
      <c r="B688" t="s">
        <v>17</v>
      </c>
      <c r="C688">
        <v>0</v>
      </c>
      <c r="D688">
        <v>1</v>
      </c>
      <c r="E688">
        <v>70</v>
      </c>
    </row>
    <row r="689" spans="1:5" x14ac:dyDescent="0.2">
      <c r="A689" t="s">
        <v>705</v>
      </c>
      <c r="B689" t="s">
        <v>13</v>
      </c>
      <c r="C689">
        <v>0</v>
      </c>
      <c r="D689">
        <v>0</v>
      </c>
      <c r="E689">
        <v>40</v>
      </c>
    </row>
    <row r="690" spans="1:5" x14ac:dyDescent="0.2">
      <c r="A690" t="s">
        <v>706</v>
      </c>
      <c r="B690" t="s">
        <v>23</v>
      </c>
      <c r="C690">
        <v>1</v>
      </c>
      <c r="D690">
        <v>0</v>
      </c>
      <c r="E690">
        <v>4</v>
      </c>
    </row>
    <row r="691" spans="1:5" x14ac:dyDescent="0.2">
      <c r="A691" t="s">
        <v>707</v>
      </c>
      <c r="B691" t="s">
        <v>40</v>
      </c>
      <c r="C691">
        <v>0</v>
      </c>
      <c r="D691">
        <v>0</v>
      </c>
      <c r="E691">
        <v>20</v>
      </c>
    </row>
    <row r="692" spans="1:5" x14ac:dyDescent="0.2">
      <c r="A692" t="s">
        <v>708</v>
      </c>
      <c r="B692" t="s">
        <v>46</v>
      </c>
      <c r="C692">
        <v>0</v>
      </c>
      <c r="D692">
        <v>1</v>
      </c>
      <c r="E692">
        <v>70</v>
      </c>
    </row>
    <row r="693" spans="1:5" x14ac:dyDescent="0.2">
      <c r="A693" t="s">
        <v>709</v>
      </c>
      <c r="B693" t="s">
        <v>19</v>
      </c>
      <c r="C693">
        <v>1</v>
      </c>
      <c r="D693">
        <v>0</v>
      </c>
      <c r="E693">
        <v>4</v>
      </c>
    </row>
    <row r="694" spans="1:5" x14ac:dyDescent="0.2">
      <c r="A694" t="s">
        <v>710</v>
      </c>
      <c r="B694" t="s">
        <v>15</v>
      </c>
      <c r="C694">
        <v>0</v>
      </c>
      <c r="D694">
        <v>1</v>
      </c>
      <c r="E694">
        <v>70</v>
      </c>
    </row>
    <row r="695" spans="1:5" x14ac:dyDescent="0.2">
      <c r="A695" t="s">
        <v>711</v>
      </c>
      <c r="B695" t="s">
        <v>46</v>
      </c>
      <c r="C695">
        <v>1</v>
      </c>
      <c r="D695">
        <v>1</v>
      </c>
      <c r="E695">
        <v>40</v>
      </c>
    </row>
    <row r="696" spans="1:5" x14ac:dyDescent="0.2">
      <c r="A696" t="s">
        <v>712</v>
      </c>
      <c r="B696" t="s">
        <v>19</v>
      </c>
      <c r="C696">
        <v>1</v>
      </c>
      <c r="D696">
        <v>1</v>
      </c>
      <c r="E696">
        <v>70</v>
      </c>
    </row>
    <row r="697" spans="1:5" x14ac:dyDescent="0.2">
      <c r="A697" t="s">
        <v>713</v>
      </c>
      <c r="B697" t="s">
        <v>19</v>
      </c>
      <c r="C697">
        <v>0</v>
      </c>
      <c r="D697">
        <v>0</v>
      </c>
      <c r="E697">
        <v>40</v>
      </c>
    </row>
    <row r="698" spans="1:5" x14ac:dyDescent="0.2">
      <c r="A698" t="s">
        <v>714</v>
      </c>
      <c r="B698" t="s">
        <v>15</v>
      </c>
      <c r="C698">
        <v>1</v>
      </c>
      <c r="D698">
        <v>0</v>
      </c>
      <c r="E698">
        <v>20</v>
      </c>
    </row>
    <row r="699" spans="1:5" x14ac:dyDescent="0.2">
      <c r="A699" t="s">
        <v>715</v>
      </c>
      <c r="B699" t="s">
        <v>61</v>
      </c>
      <c r="C699">
        <v>1</v>
      </c>
      <c r="D699">
        <v>0</v>
      </c>
      <c r="E699">
        <v>10</v>
      </c>
    </row>
    <row r="700" spans="1:5" x14ac:dyDescent="0.2">
      <c r="A700" t="s">
        <v>716</v>
      </c>
      <c r="B700" t="s">
        <v>26</v>
      </c>
      <c r="C700">
        <v>1</v>
      </c>
      <c r="D700">
        <v>0</v>
      </c>
      <c r="E700">
        <v>40</v>
      </c>
    </row>
    <row r="701" spans="1:5" x14ac:dyDescent="0.2">
      <c r="A701" t="s">
        <v>717</v>
      </c>
      <c r="B701" t="s">
        <v>40</v>
      </c>
      <c r="C701">
        <v>1</v>
      </c>
      <c r="D701">
        <v>1</v>
      </c>
      <c r="E701">
        <v>40</v>
      </c>
    </row>
    <row r="702" spans="1:5" x14ac:dyDescent="0.2">
      <c r="A702" t="s">
        <v>718</v>
      </c>
      <c r="B702" t="s">
        <v>13</v>
      </c>
      <c r="C702">
        <v>0</v>
      </c>
      <c r="D702">
        <v>0</v>
      </c>
      <c r="E702">
        <v>10</v>
      </c>
    </row>
    <row r="703" spans="1:5" x14ac:dyDescent="0.2">
      <c r="A703" t="s">
        <v>719</v>
      </c>
      <c r="B703" t="s">
        <v>26</v>
      </c>
      <c r="C703">
        <v>1</v>
      </c>
      <c r="D703">
        <v>1</v>
      </c>
      <c r="E703">
        <v>40</v>
      </c>
    </row>
    <row r="704" spans="1:5" x14ac:dyDescent="0.2">
      <c r="A704" t="s">
        <v>720</v>
      </c>
      <c r="B704" t="s">
        <v>26</v>
      </c>
      <c r="C704">
        <v>0</v>
      </c>
      <c r="D704">
        <v>0</v>
      </c>
      <c r="E704">
        <v>10</v>
      </c>
    </row>
    <row r="705" spans="1:5" x14ac:dyDescent="0.2">
      <c r="A705" t="s">
        <v>721</v>
      </c>
      <c r="B705" t="s">
        <v>23</v>
      </c>
      <c r="C705">
        <v>1</v>
      </c>
      <c r="D705">
        <v>1</v>
      </c>
      <c r="E705">
        <v>20</v>
      </c>
    </row>
    <row r="706" spans="1:5" x14ac:dyDescent="0.2">
      <c r="A706" t="s">
        <v>722</v>
      </c>
      <c r="B706" t="s">
        <v>28</v>
      </c>
      <c r="C706">
        <v>1</v>
      </c>
      <c r="D706">
        <v>1</v>
      </c>
      <c r="E706">
        <v>4</v>
      </c>
    </row>
    <row r="707" spans="1:5" x14ac:dyDescent="0.2">
      <c r="A707" t="s">
        <v>723</v>
      </c>
      <c r="B707" t="s">
        <v>28</v>
      </c>
      <c r="C707">
        <v>0</v>
      </c>
      <c r="D707">
        <v>0</v>
      </c>
      <c r="E707">
        <v>70</v>
      </c>
    </row>
    <row r="708" spans="1:5" x14ac:dyDescent="0.2">
      <c r="A708" t="s">
        <v>724</v>
      </c>
      <c r="B708" t="s">
        <v>6</v>
      </c>
      <c r="C708">
        <v>1</v>
      </c>
      <c r="D708">
        <v>1</v>
      </c>
      <c r="E708">
        <v>20</v>
      </c>
    </row>
    <row r="709" spans="1:5" x14ac:dyDescent="0.2">
      <c r="A709" t="s">
        <v>725</v>
      </c>
      <c r="B709" t="s">
        <v>61</v>
      </c>
      <c r="C709">
        <v>0</v>
      </c>
      <c r="D709">
        <v>1</v>
      </c>
      <c r="E709">
        <v>40</v>
      </c>
    </row>
    <row r="710" spans="1:5" x14ac:dyDescent="0.2">
      <c r="A710" t="s">
        <v>726</v>
      </c>
      <c r="B710" t="s">
        <v>28</v>
      </c>
      <c r="C710">
        <v>0</v>
      </c>
      <c r="D710">
        <v>1</v>
      </c>
      <c r="E710">
        <v>70</v>
      </c>
    </row>
    <row r="711" spans="1:5" x14ac:dyDescent="0.2">
      <c r="A711" t="s">
        <v>727</v>
      </c>
      <c r="B711" t="s">
        <v>28</v>
      </c>
      <c r="C711">
        <v>0</v>
      </c>
      <c r="D711">
        <v>1</v>
      </c>
      <c r="E711">
        <v>40</v>
      </c>
    </row>
    <row r="712" spans="1:5" x14ac:dyDescent="0.2">
      <c r="A712" t="s">
        <v>728</v>
      </c>
      <c r="B712" t="s">
        <v>8</v>
      </c>
      <c r="C712">
        <v>0</v>
      </c>
      <c r="D712">
        <v>1</v>
      </c>
      <c r="E712">
        <v>20</v>
      </c>
    </row>
    <row r="713" spans="1:5" x14ac:dyDescent="0.2">
      <c r="A713" t="s">
        <v>729</v>
      </c>
      <c r="B713" t="s">
        <v>6</v>
      </c>
      <c r="C713">
        <v>0</v>
      </c>
      <c r="D713">
        <v>1</v>
      </c>
      <c r="E713">
        <v>10</v>
      </c>
    </row>
    <row r="714" spans="1:5" x14ac:dyDescent="0.2">
      <c r="A714" t="s">
        <v>730</v>
      </c>
      <c r="B714" t="s">
        <v>13</v>
      </c>
      <c r="C714">
        <v>1</v>
      </c>
      <c r="D714">
        <v>1</v>
      </c>
      <c r="E714">
        <v>70</v>
      </c>
    </row>
    <row r="715" spans="1:5" x14ac:dyDescent="0.2">
      <c r="A715" t="s">
        <v>731</v>
      </c>
      <c r="B715" t="s">
        <v>13</v>
      </c>
      <c r="C715">
        <v>1</v>
      </c>
      <c r="D715">
        <v>1</v>
      </c>
      <c r="E715">
        <v>40</v>
      </c>
    </row>
    <row r="716" spans="1:5" x14ac:dyDescent="0.2">
      <c r="A716" t="s">
        <v>732</v>
      </c>
      <c r="B716" t="s">
        <v>11</v>
      </c>
      <c r="C716">
        <v>0</v>
      </c>
      <c r="D716">
        <v>1</v>
      </c>
      <c r="E716">
        <v>10</v>
      </c>
    </row>
    <row r="717" spans="1:5" x14ac:dyDescent="0.2">
      <c r="A717" t="s">
        <v>733</v>
      </c>
      <c r="B717" t="s">
        <v>53</v>
      </c>
      <c r="C717">
        <v>0</v>
      </c>
      <c r="D717">
        <v>1</v>
      </c>
      <c r="E717">
        <v>4</v>
      </c>
    </row>
    <row r="718" spans="1:5" x14ac:dyDescent="0.2">
      <c r="A718" t="s">
        <v>734</v>
      </c>
      <c r="B718" t="s">
        <v>19</v>
      </c>
      <c r="C718">
        <v>1</v>
      </c>
      <c r="D718">
        <v>0</v>
      </c>
      <c r="E718">
        <v>40</v>
      </c>
    </row>
    <row r="719" spans="1:5" x14ac:dyDescent="0.2">
      <c r="A719" t="s">
        <v>735</v>
      </c>
      <c r="B719" t="s">
        <v>53</v>
      </c>
      <c r="C719">
        <v>1</v>
      </c>
      <c r="D719">
        <v>1</v>
      </c>
      <c r="E719">
        <v>10</v>
      </c>
    </row>
    <row r="720" spans="1:5" x14ac:dyDescent="0.2">
      <c r="A720" t="s">
        <v>736</v>
      </c>
      <c r="B720" t="s">
        <v>23</v>
      </c>
      <c r="C720">
        <v>0</v>
      </c>
      <c r="D720">
        <v>0</v>
      </c>
      <c r="E720">
        <v>70</v>
      </c>
    </row>
    <row r="721" spans="1:5" x14ac:dyDescent="0.2">
      <c r="A721" t="s">
        <v>737</v>
      </c>
      <c r="B721" t="s">
        <v>8</v>
      </c>
      <c r="C721">
        <v>0</v>
      </c>
      <c r="D721">
        <v>1</v>
      </c>
      <c r="E721">
        <v>20</v>
      </c>
    </row>
    <row r="722" spans="1:5" x14ac:dyDescent="0.2">
      <c r="A722" t="s">
        <v>738</v>
      </c>
      <c r="B722" t="s">
        <v>17</v>
      </c>
      <c r="C722">
        <v>1</v>
      </c>
      <c r="D722">
        <v>1</v>
      </c>
      <c r="E722">
        <v>40</v>
      </c>
    </row>
    <row r="723" spans="1:5" x14ac:dyDescent="0.2">
      <c r="A723" t="s">
        <v>739</v>
      </c>
      <c r="B723" t="s">
        <v>13</v>
      </c>
      <c r="C723">
        <v>0</v>
      </c>
      <c r="D723">
        <v>1</v>
      </c>
      <c r="E723">
        <v>20</v>
      </c>
    </row>
    <row r="724" spans="1:5" x14ac:dyDescent="0.2">
      <c r="A724" t="s">
        <v>740</v>
      </c>
      <c r="B724" t="s">
        <v>15</v>
      </c>
      <c r="C724">
        <v>1</v>
      </c>
      <c r="D724">
        <v>1</v>
      </c>
      <c r="E724">
        <v>4</v>
      </c>
    </row>
    <row r="725" spans="1:5" x14ac:dyDescent="0.2">
      <c r="A725" t="s">
        <v>741</v>
      </c>
      <c r="B725" t="s">
        <v>11</v>
      </c>
      <c r="C725">
        <v>0</v>
      </c>
      <c r="D725">
        <v>0</v>
      </c>
      <c r="E725">
        <v>70</v>
      </c>
    </row>
    <row r="726" spans="1:5" x14ac:dyDescent="0.2">
      <c r="A726" t="s">
        <v>742</v>
      </c>
      <c r="B726" t="s">
        <v>19</v>
      </c>
      <c r="C726">
        <v>1</v>
      </c>
      <c r="D726">
        <v>1</v>
      </c>
      <c r="E726">
        <v>40</v>
      </c>
    </row>
    <row r="727" spans="1:5" x14ac:dyDescent="0.2">
      <c r="A727" t="s">
        <v>743</v>
      </c>
      <c r="B727" t="s">
        <v>61</v>
      </c>
      <c r="C727">
        <v>1</v>
      </c>
      <c r="D727">
        <v>1</v>
      </c>
      <c r="E727">
        <v>4</v>
      </c>
    </row>
    <row r="728" spans="1:5" x14ac:dyDescent="0.2">
      <c r="A728" t="s">
        <v>744</v>
      </c>
      <c r="B728" t="s">
        <v>13</v>
      </c>
      <c r="C728">
        <v>0</v>
      </c>
      <c r="D728">
        <v>1</v>
      </c>
      <c r="E728">
        <v>70</v>
      </c>
    </row>
    <row r="729" spans="1:5" x14ac:dyDescent="0.2">
      <c r="A729" t="s">
        <v>745</v>
      </c>
      <c r="B729" t="s">
        <v>13</v>
      </c>
      <c r="C729">
        <v>1</v>
      </c>
      <c r="D729">
        <v>1</v>
      </c>
      <c r="E729">
        <v>40</v>
      </c>
    </row>
    <row r="730" spans="1:5" x14ac:dyDescent="0.2">
      <c r="A730" t="s">
        <v>746</v>
      </c>
      <c r="B730" t="s">
        <v>15</v>
      </c>
      <c r="C730">
        <v>1</v>
      </c>
      <c r="D730">
        <v>1</v>
      </c>
      <c r="E730">
        <v>40</v>
      </c>
    </row>
    <row r="731" spans="1:5" x14ac:dyDescent="0.2">
      <c r="A731" t="s">
        <v>747</v>
      </c>
      <c r="B731" t="s">
        <v>8</v>
      </c>
      <c r="C731">
        <v>1</v>
      </c>
      <c r="D731">
        <v>1</v>
      </c>
      <c r="E731">
        <v>70</v>
      </c>
    </row>
    <row r="732" spans="1:5" x14ac:dyDescent="0.2">
      <c r="A732" t="s">
        <v>748</v>
      </c>
      <c r="B732" t="s">
        <v>40</v>
      </c>
      <c r="C732">
        <v>0</v>
      </c>
      <c r="D732">
        <v>1</v>
      </c>
      <c r="E732">
        <v>4</v>
      </c>
    </row>
    <row r="733" spans="1:5" x14ac:dyDescent="0.2">
      <c r="A733" t="s">
        <v>749</v>
      </c>
      <c r="B733" t="s">
        <v>8</v>
      </c>
      <c r="C733">
        <v>1</v>
      </c>
      <c r="D733">
        <v>1</v>
      </c>
      <c r="E733">
        <v>4</v>
      </c>
    </row>
    <row r="734" spans="1:5" x14ac:dyDescent="0.2">
      <c r="A734" t="s">
        <v>750</v>
      </c>
      <c r="B734" t="s">
        <v>61</v>
      </c>
      <c r="C734">
        <v>1</v>
      </c>
      <c r="D734">
        <v>1</v>
      </c>
      <c r="E734">
        <v>4</v>
      </c>
    </row>
    <row r="735" spans="1:5" x14ac:dyDescent="0.2">
      <c r="A735" t="s">
        <v>751</v>
      </c>
      <c r="B735" t="s">
        <v>11</v>
      </c>
      <c r="C735">
        <v>0</v>
      </c>
      <c r="D735">
        <v>0</v>
      </c>
      <c r="E735">
        <v>4</v>
      </c>
    </row>
    <row r="736" spans="1:5" x14ac:dyDescent="0.2">
      <c r="A736" t="s">
        <v>752</v>
      </c>
      <c r="B736" t="s">
        <v>53</v>
      </c>
      <c r="C736">
        <v>0</v>
      </c>
      <c r="D736">
        <v>0</v>
      </c>
      <c r="E736">
        <v>10</v>
      </c>
    </row>
    <row r="737" spans="1:5" x14ac:dyDescent="0.2">
      <c r="A737" t="s">
        <v>753</v>
      </c>
      <c r="B737" t="s">
        <v>15</v>
      </c>
      <c r="C737">
        <v>1</v>
      </c>
      <c r="D737">
        <v>1</v>
      </c>
      <c r="E737">
        <v>20</v>
      </c>
    </row>
    <row r="738" spans="1:5" x14ac:dyDescent="0.2">
      <c r="A738" t="s">
        <v>754</v>
      </c>
      <c r="B738" t="s">
        <v>23</v>
      </c>
      <c r="C738">
        <v>1</v>
      </c>
      <c r="D738">
        <v>1</v>
      </c>
      <c r="E738">
        <v>20</v>
      </c>
    </row>
    <row r="739" spans="1:5" x14ac:dyDescent="0.2">
      <c r="A739" t="s">
        <v>755</v>
      </c>
      <c r="B739" t="s">
        <v>53</v>
      </c>
      <c r="C739">
        <v>1</v>
      </c>
      <c r="D739">
        <v>1</v>
      </c>
      <c r="E739">
        <v>4</v>
      </c>
    </row>
    <row r="740" spans="1:5" x14ac:dyDescent="0.2">
      <c r="A740" t="s">
        <v>756</v>
      </c>
      <c r="B740" t="s">
        <v>26</v>
      </c>
      <c r="C740">
        <v>0</v>
      </c>
      <c r="D740">
        <v>0</v>
      </c>
      <c r="E740">
        <v>20</v>
      </c>
    </row>
    <row r="741" spans="1:5" x14ac:dyDescent="0.2">
      <c r="A741" t="s">
        <v>757</v>
      </c>
      <c r="B741" t="s">
        <v>15</v>
      </c>
      <c r="C741">
        <v>0</v>
      </c>
      <c r="D741">
        <v>0</v>
      </c>
      <c r="E741">
        <v>40</v>
      </c>
    </row>
    <row r="742" spans="1:5" x14ac:dyDescent="0.2">
      <c r="A742" t="s">
        <v>758</v>
      </c>
      <c r="B742" t="s">
        <v>26</v>
      </c>
      <c r="C742">
        <v>0</v>
      </c>
      <c r="D742">
        <v>1</v>
      </c>
      <c r="E742">
        <v>10</v>
      </c>
    </row>
    <row r="743" spans="1:5" x14ac:dyDescent="0.2">
      <c r="A743" t="s">
        <v>759</v>
      </c>
      <c r="B743" t="s">
        <v>37</v>
      </c>
      <c r="C743">
        <v>1</v>
      </c>
      <c r="D743">
        <v>1</v>
      </c>
      <c r="E743">
        <v>10</v>
      </c>
    </row>
    <row r="744" spans="1:5" x14ac:dyDescent="0.2">
      <c r="A744" t="s">
        <v>760</v>
      </c>
      <c r="B744" t="s">
        <v>37</v>
      </c>
      <c r="C744">
        <v>1</v>
      </c>
      <c r="D744">
        <v>1</v>
      </c>
      <c r="E744">
        <v>4</v>
      </c>
    </row>
    <row r="745" spans="1:5" x14ac:dyDescent="0.2">
      <c r="A745" t="s">
        <v>761</v>
      </c>
      <c r="B745" t="s">
        <v>15</v>
      </c>
      <c r="C745">
        <v>0</v>
      </c>
      <c r="D745">
        <v>0</v>
      </c>
      <c r="E745">
        <v>4</v>
      </c>
    </row>
    <row r="746" spans="1:5" x14ac:dyDescent="0.2">
      <c r="A746" t="s">
        <v>762</v>
      </c>
      <c r="B746" t="s">
        <v>13</v>
      </c>
      <c r="C746">
        <v>0</v>
      </c>
      <c r="D746">
        <v>1</v>
      </c>
      <c r="E746">
        <v>10</v>
      </c>
    </row>
    <row r="747" spans="1:5" x14ac:dyDescent="0.2">
      <c r="A747" t="s">
        <v>763</v>
      </c>
      <c r="B747" t="s">
        <v>46</v>
      </c>
      <c r="C747">
        <v>0</v>
      </c>
      <c r="D747">
        <v>0</v>
      </c>
      <c r="E747">
        <v>4</v>
      </c>
    </row>
    <row r="748" spans="1:5" x14ac:dyDescent="0.2">
      <c r="A748" t="s">
        <v>764</v>
      </c>
      <c r="B748" t="s">
        <v>61</v>
      </c>
      <c r="C748">
        <v>1</v>
      </c>
      <c r="D748">
        <v>0</v>
      </c>
      <c r="E748">
        <v>40</v>
      </c>
    </row>
    <row r="749" spans="1:5" x14ac:dyDescent="0.2">
      <c r="A749" t="s">
        <v>765</v>
      </c>
      <c r="B749" t="s">
        <v>19</v>
      </c>
      <c r="C749">
        <v>1</v>
      </c>
      <c r="D749">
        <v>1</v>
      </c>
      <c r="E749">
        <v>4</v>
      </c>
    </row>
    <row r="750" spans="1:5" x14ac:dyDescent="0.2">
      <c r="A750" t="s">
        <v>766</v>
      </c>
      <c r="B750" t="s">
        <v>15</v>
      </c>
      <c r="C750">
        <v>0</v>
      </c>
      <c r="D750">
        <v>1</v>
      </c>
      <c r="E750">
        <v>40</v>
      </c>
    </row>
    <row r="751" spans="1:5" x14ac:dyDescent="0.2">
      <c r="A751" t="s">
        <v>767</v>
      </c>
      <c r="B751" t="s">
        <v>19</v>
      </c>
      <c r="C751">
        <v>0</v>
      </c>
      <c r="D751">
        <v>1</v>
      </c>
      <c r="E751">
        <v>20</v>
      </c>
    </row>
    <row r="752" spans="1:5" x14ac:dyDescent="0.2">
      <c r="A752" t="s">
        <v>768</v>
      </c>
      <c r="B752" t="s">
        <v>37</v>
      </c>
      <c r="C752">
        <v>0</v>
      </c>
      <c r="D752">
        <v>0</v>
      </c>
      <c r="E752">
        <v>10</v>
      </c>
    </row>
    <row r="753" spans="1:5" x14ac:dyDescent="0.2">
      <c r="A753" t="s">
        <v>769</v>
      </c>
      <c r="B753" t="s">
        <v>11</v>
      </c>
      <c r="C753">
        <v>1</v>
      </c>
      <c r="D753">
        <v>0</v>
      </c>
      <c r="E753">
        <v>10</v>
      </c>
    </row>
    <row r="754" spans="1:5" x14ac:dyDescent="0.2">
      <c r="A754" t="s">
        <v>770</v>
      </c>
      <c r="B754" t="s">
        <v>17</v>
      </c>
      <c r="C754">
        <v>1</v>
      </c>
      <c r="D754">
        <v>1</v>
      </c>
      <c r="E754">
        <v>10</v>
      </c>
    </row>
    <row r="755" spans="1:5" x14ac:dyDescent="0.2">
      <c r="A755" t="s">
        <v>771</v>
      </c>
      <c r="B755" t="s">
        <v>19</v>
      </c>
      <c r="C755">
        <v>0</v>
      </c>
      <c r="D755">
        <v>1</v>
      </c>
      <c r="E755">
        <v>40</v>
      </c>
    </row>
    <row r="756" spans="1:5" x14ac:dyDescent="0.2">
      <c r="A756" t="s">
        <v>772</v>
      </c>
      <c r="B756" t="s">
        <v>13</v>
      </c>
      <c r="C756">
        <v>0</v>
      </c>
      <c r="D756">
        <v>0</v>
      </c>
      <c r="E756">
        <v>40</v>
      </c>
    </row>
    <row r="757" spans="1:5" x14ac:dyDescent="0.2">
      <c r="A757" t="s">
        <v>773</v>
      </c>
      <c r="B757" t="s">
        <v>37</v>
      </c>
      <c r="C757">
        <v>1</v>
      </c>
      <c r="D757">
        <v>1</v>
      </c>
      <c r="E757">
        <v>10</v>
      </c>
    </row>
    <row r="758" spans="1:5" x14ac:dyDescent="0.2">
      <c r="A758" t="s">
        <v>774</v>
      </c>
      <c r="B758" t="s">
        <v>6</v>
      </c>
      <c r="C758">
        <v>0</v>
      </c>
      <c r="D758">
        <v>0</v>
      </c>
      <c r="E758">
        <v>70</v>
      </c>
    </row>
    <row r="759" spans="1:5" x14ac:dyDescent="0.2">
      <c r="A759" t="s">
        <v>775</v>
      </c>
      <c r="B759" t="s">
        <v>8</v>
      </c>
      <c r="C759">
        <v>0</v>
      </c>
      <c r="D759">
        <v>1</v>
      </c>
      <c r="E759">
        <v>40</v>
      </c>
    </row>
    <row r="760" spans="1:5" x14ac:dyDescent="0.2">
      <c r="A760" t="s">
        <v>776</v>
      </c>
      <c r="B760" t="s">
        <v>61</v>
      </c>
      <c r="C760">
        <v>0</v>
      </c>
      <c r="D760">
        <v>1</v>
      </c>
      <c r="E760">
        <v>40</v>
      </c>
    </row>
    <row r="761" spans="1:5" x14ac:dyDescent="0.2">
      <c r="A761" t="s">
        <v>777</v>
      </c>
      <c r="B761" t="s">
        <v>17</v>
      </c>
      <c r="C761">
        <v>0</v>
      </c>
      <c r="D761">
        <v>1</v>
      </c>
      <c r="E761">
        <v>70</v>
      </c>
    </row>
    <row r="762" spans="1:5" x14ac:dyDescent="0.2">
      <c r="A762" t="s">
        <v>778</v>
      </c>
      <c r="B762" t="s">
        <v>13</v>
      </c>
      <c r="C762">
        <v>1</v>
      </c>
      <c r="D762">
        <v>1</v>
      </c>
      <c r="E762">
        <v>70</v>
      </c>
    </row>
    <row r="763" spans="1:5" x14ac:dyDescent="0.2">
      <c r="A763" t="s">
        <v>779</v>
      </c>
      <c r="B763" t="s">
        <v>46</v>
      </c>
      <c r="C763">
        <v>0</v>
      </c>
      <c r="D763">
        <v>1</v>
      </c>
      <c r="E763">
        <v>20</v>
      </c>
    </row>
    <row r="764" spans="1:5" x14ac:dyDescent="0.2">
      <c r="A764" t="s">
        <v>780</v>
      </c>
      <c r="B764" t="s">
        <v>13</v>
      </c>
      <c r="C764">
        <v>1</v>
      </c>
      <c r="D764">
        <v>1</v>
      </c>
      <c r="E764">
        <v>40</v>
      </c>
    </row>
    <row r="765" spans="1:5" x14ac:dyDescent="0.2">
      <c r="A765" t="s">
        <v>781</v>
      </c>
      <c r="B765" t="s">
        <v>28</v>
      </c>
      <c r="C765">
        <v>1</v>
      </c>
      <c r="D765">
        <v>1</v>
      </c>
      <c r="E765">
        <v>10</v>
      </c>
    </row>
    <row r="766" spans="1:5" x14ac:dyDescent="0.2">
      <c r="A766" t="s">
        <v>782</v>
      </c>
      <c r="B766" t="s">
        <v>28</v>
      </c>
      <c r="C766">
        <v>0</v>
      </c>
      <c r="D766">
        <v>1</v>
      </c>
      <c r="E766">
        <v>20</v>
      </c>
    </row>
    <row r="767" spans="1:5" x14ac:dyDescent="0.2">
      <c r="A767" t="s">
        <v>783</v>
      </c>
      <c r="B767" t="s">
        <v>28</v>
      </c>
      <c r="C767">
        <v>1</v>
      </c>
      <c r="D767">
        <v>1</v>
      </c>
      <c r="E767">
        <v>40</v>
      </c>
    </row>
    <row r="768" spans="1:5" x14ac:dyDescent="0.2">
      <c r="A768" t="s">
        <v>784</v>
      </c>
      <c r="B768" t="s">
        <v>37</v>
      </c>
      <c r="C768">
        <v>0</v>
      </c>
      <c r="D768">
        <v>1</v>
      </c>
      <c r="E768">
        <v>70</v>
      </c>
    </row>
    <row r="769" spans="1:5" x14ac:dyDescent="0.2">
      <c r="A769" t="s">
        <v>785</v>
      </c>
      <c r="B769" t="s">
        <v>6</v>
      </c>
      <c r="C769">
        <v>1</v>
      </c>
      <c r="D769">
        <v>1</v>
      </c>
      <c r="E769">
        <v>4</v>
      </c>
    </row>
    <row r="770" spans="1:5" x14ac:dyDescent="0.2">
      <c r="A770" t="s">
        <v>786</v>
      </c>
      <c r="B770" t="s">
        <v>40</v>
      </c>
      <c r="C770">
        <v>0</v>
      </c>
      <c r="D770">
        <v>0</v>
      </c>
      <c r="E770">
        <v>40</v>
      </c>
    </row>
    <row r="771" spans="1:5" x14ac:dyDescent="0.2">
      <c r="A771" t="s">
        <v>787</v>
      </c>
      <c r="B771" t="s">
        <v>19</v>
      </c>
      <c r="C771">
        <v>1</v>
      </c>
      <c r="D771">
        <v>1</v>
      </c>
      <c r="E771">
        <v>70</v>
      </c>
    </row>
    <row r="772" spans="1:5" x14ac:dyDescent="0.2">
      <c r="A772" t="s">
        <v>788</v>
      </c>
      <c r="B772" t="s">
        <v>6</v>
      </c>
      <c r="C772">
        <v>0</v>
      </c>
      <c r="D772">
        <v>1</v>
      </c>
      <c r="E772">
        <v>70</v>
      </c>
    </row>
    <row r="773" spans="1:5" x14ac:dyDescent="0.2">
      <c r="A773" t="s">
        <v>789</v>
      </c>
      <c r="B773" t="s">
        <v>11</v>
      </c>
      <c r="C773">
        <v>0</v>
      </c>
      <c r="D773">
        <v>0</v>
      </c>
      <c r="E773">
        <v>20</v>
      </c>
    </row>
    <row r="774" spans="1:5" x14ac:dyDescent="0.2">
      <c r="A774" t="s">
        <v>790</v>
      </c>
      <c r="B774" t="s">
        <v>26</v>
      </c>
      <c r="C774">
        <v>0</v>
      </c>
      <c r="D774">
        <v>1</v>
      </c>
      <c r="E774">
        <v>40</v>
      </c>
    </row>
    <row r="775" spans="1:5" x14ac:dyDescent="0.2">
      <c r="A775" t="s">
        <v>791</v>
      </c>
      <c r="B775" t="s">
        <v>11</v>
      </c>
      <c r="C775">
        <v>1</v>
      </c>
      <c r="D775">
        <v>1</v>
      </c>
      <c r="E775">
        <v>10</v>
      </c>
    </row>
    <row r="776" spans="1:5" x14ac:dyDescent="0.2">
      <c r="A776" t="s">
        <v>792</v>
      </c>
      <c r="B776" t="s">
        <v>53</v>
      </c>
      <c r="C776">
        <v>0</v>
      </c>
      <c r="D776">
        <v>0</v>
      </c>
      <c r="E776">
        <v>20</v>
      </c>
    </row>
    <row r="777" spans="1:5" x14ac:dyDescent="0.2">
      <c r="A777" t="s">
        <v>793</v>
      </c>
      <c r="B777" t="s">
        <v>23</v>
      </c>
      <c r="C777">
        <v>0</v>
      </c>
      <c r="D777">
        <v>1</v>
      </c>
      <c r="E777">
        <v>20</v>
      </c>
    </row>
    <row r="778" spans="1:5" x14ac:dyDescent="0.2">
      <c r="A778" t="s">
        <v>794</v>
      </c>
      <c r="B778" t="s">
        <v>53</v>
      </c>
      <c r="C778">
        <v>0</v>
      </c>
      <c r="D778">
        <v>1</v>
      </c>
      <c r="E778">
        <v>70</v>
      </c>
    </row>
    <row r="779" spans="1:5" x14ac:dyDescent="0.2">
      <c r="A779" t="s">
        <v>795</v>
      </c>
      <c r="B779" t="s">
        <v>40</v>
      </c>
      <c r="C779">
        <v>0</v>
      </c>
      <c r="D779">
        <v>1</v>
      </c>
      <c r="E779">
        <v>70</v>
      </c>
    </row>
    <row r="780" spans="1:5" x14ac:dyDescent="0.2">
      <c r="A780" t="s">
        <v>796</v>
      </c>
      <c r="B780" t="s">
        <v>13</v>
      </c>
      <c r="C780">
        <v>1</v>
      </c>
      <c r="D780">
        <v>1</v>
      </c>
      <c r="E780">
        <v>10</v>
      </c>
    </row>
    <row r="781" spans="1:5" x14ac:dyDescent="0.2">
      <c r="A781" t="s">
        <v>797</v>
      </c>
      <c r="B781" t="s">
        <v>23</v>
      </c>
      <c r="C781">
        <v>0</v>
      </c>
      <c r="D781">
        <v>0</v>
      </c>
      <c r="E781">
        <v>20</v>
      </c>
    </row>
    <row r="782" spans="1:5" x14ac:dyDescent="0.2">
      <c r="A782" t="s">
        <v>798</v>
      </c>
      <c r="B782" t="s">
        <v>19</v>
      </c>
      <c r="C782">
        <v>0</v>
      </c>
      <c r="D782">
        <v>1</v>
      </c>
      <c r="E782">
        <v>20</v>
      </c>
    </row>
    <row r="783" spans="1:5" x14ac:dyDescent="0.2">
      <c r="A783" t="s">
        <v>799</v>
      </c>
      <c r="B783" t="s">
        <v>11</v>
      </c>
      <c r="C783">
        <v>1</v>
      </c>
      <c r="D783">
        <v>1</v>
      </c>
      <c r="E783">
        <v>70</v>
      </c>
    </row>
    <row r="784" spans="1:5" x14ac:dyDescent="0.2">
      <c r="A784" t="s">
        <v>800</v>
      </c>
      <c r="B784" t="s">
        <v>37</v>
      </c>
      <c r="C784">
        <v>0</v>
      </c>
      <c r="D784">
        <v>0</v>
      </c>
      <c r="E784">
        <v>40</v>
      </c>
    </row>
    <row r="785" spans="1:5" x14ac:dyDescent="0.2">
      <c r="A785" t="s">
        <v>801</v>
      </c>
      <c r="B785" t="s">
        <v>26</v>
      </c>
      <c r="C785">
        <v>1</v>
      </c>
      <c r="D785">
        <v>1</v>
      </c>
      <c r="E785">
        <v>4</v>
      </c>
    </row>
    <row r="786" spans="1:5" x14ac:dyDescent="0.2">
      <c r="A786" t="s">
        <v>802</v>
      </c>
      <c r="B786" t="s">
        <v>11</v>
      </c>
      <c r="C786">
        <v>0</v>
      </c>
      <c r="D786">
        <v>1</v>
      </c>
      <c r="E786">
        <v>40</v>
      </c>
    </row>
    <row r="787" spans="1:5" x14ac:dyDescent="0.2">
      <c r="A787" t="s">
        <v>803</v>
      </c>
      <c r="B787" t="s">
        <v>15</v>
      </c>
      <c r="C787">
        <v>1</v>
      </c>
      <c r="D787">
        <v>1</v>
      </c>
      <c r="E787">
        <v>10</v>
      </c>
    </row>
    <row r="788" spans="1:5" x14ac:dyDescent="0.2">
      <c r="A788" t="s">
        <v>804</v>
      </c>
      <c r="B788" t="s">
        <v>23</v>
      </c>
      <c r="C788">
        <v>0</v>
      </c>
      <c r="D788">
        <v>0</v>
      </c>
      <c r="E788">
        <v>10</v>
      </c>
    </row>
    <row r="789" spans="1:5" x14ac:dyDescent="0.2">
      <c r="A789" t="s">
        <v>805</v>
      </c>
      <c r="B789" t="s">
        <v>40</v>
      </c>
      <c r="C789">
        <v>0</v>
      </c>
      <c r="D789">
        <v>0</v>
      </c>
      <c r="E789">
        <v>70</v>
      </c>
    </row>
    <row r="790" spans="1:5" x14ac:dyDescent="0.2">
      <c r="A790" t="s">
        <v>806</v>
      </c>
      <c r="B790" t="s">
        <v>19</v>
      </c>
      <c r="C790">
        <v>0</v>
      </c>
      <c r="D790">
        <v>1</v>
      </c>
      <c r="E790">
        <v>4</v>
      </c>
    </row>
    <row r="791" spans="1:5" x14ac:dyDescent="0.2">
      <c r="A791" t="s">
        <v>807</v>
      </c>
      <c r="B791" t="s">
        <v>28</v>
      </c>
      <c r="C791">
        <v>0</v>
      </c>
      <c r="D791">
        <v>1</v>
      </c>
      <c r="E791">
        <v>40</v>
      </c>
    </row>
    <row r="792" spans="1:5" x14ac:dyDescent="0.2">
      <c r="A792" t="s">
        <v>808</v>
      </c>
      <c r="B792" t="s">
        <v>28</v>
      </c>
      <c r="C792">
        <v>0</v>
      </c>
      <c r="D792">
        <v>1</v>
      </c>
      <c r="E792">
        <v>4</v>
      </c>
    </row>
    <row r="793" spans="1:5" x14ac:dyDescent="0.2">
      <c r="A793" t="s">
        <v>809</v>
      </c>
      <c r="B793" t="s">
        <v>28</v>
      </c>
      <c r="C793">
        <v>0</v>
      </c>
      <c r="D793">
        <v>1</v>
      </c>
      <c r="E793">
        <v>4</v>
      </c>
    </row>
    <row r="794" spans="1:5" x14ac:dyDescent="0.2">
      <c r="A794" t="s">
        <v>810</v>
      </c>
      <c r="B794" t="s">
        <v>37</v>
      </c>
      <c r="C794">
        <v>0</v>
      </c>
      <c r="D794">
        <v>1</v>
      </c>
      <c r="E794">
        <v>40</v>
      </c>
    </row>
    <row r="795" spans="1:5" x14ac:dyDescent="0.2">
      <c r="A795" t="s">
        <v>811</v>
      </c>
      <c r="B795" t="s">
        <v>40</v>
      </c>
      <c r="C795">
        <v>1</v>
      </c>
      <c r="D795">
        <v>0</v>
      </c>
      <c r="E795">
        <v>70</v>
      </c>
    </row>
    <row r="796" spans="1:5" x14ac:dyDescent="0.2">
      <c r="A796" t="s">
        <v>812</v>
      </c>
      <c r="B796" t="s">
        <v>8</v>
      </c>
      <c r="C796">
        <v>1</v>
      </c>
      <c r="D796">
        <v>1</v>
      </c>
      <c r="E796">
        <v>70</v>
      </c>
    </row>
    <row r="797" spans="1:5" x14ac:dyDescent="0.2">
      <c r="A797" t="s">
        <v>813</v>
      </c>
      <c r="B797" t="s">
        <v>37</v>
      </c>
      <c r="C797">
        <v>0</v>
      </c>
      <c r="D797">
        <v>1</v>
      </c>
      <c r="E797">
        <v>20</v>
      </c>
    </row>
    <row r="798" spans="1:5" x14ac:dyDescent="0.2">
      <c r="A798" t="s">
        <v>814</v>
      </c>
      <c r="B798" t="s">
        <v>40</v>
      </c>
      <c r="C798">
        <v>0</v>
      </c>
      <c r="D798">
        <v>1</v>
      </c>
      <c r="E798">
        <v>20</v>
      </c>
    </row>
    <row r="799" spans="1:5" x14ac:dyDescent="0.2">
      <c r="A799" t="s">
        <v>815</v>
      </c>
      <c r="B799" t="s">
        <v>23</v>
      </c>
      <c r="C799">
        <v>1</v>
      </c>
      <c r="D799">
        <v>0</v>
      </c>
      <c r="E799">
        <v>20</v>
      </c>
    </row>
    <row r="800" spans="1:5" x14ac:dyDescent="0.2">
      <c r="A800" t="s">
        <v>816</v>
      </c>
      <c r="B800" t="s">
        <v>40</v>
      </c>
      <c r="C800">
        <v>1</v>
      </c>
      <c r="D800">
        <v>1</v>
      </c>
      <c r="E800">
        <v>70</v>
      </c>
    </row>
    <row r="801" spans="1:5" x14ac:dyDescent="0.2">
      <c r="A801" t="s">
        <v>817</v>
      </c>
      <c r="B801" t="s">
        <v>17</v>
      </c>
      <c r="C801">
        <v>1</v>
      </c>
      <c r="D801">
        <v>1</v>
      </c>
      <c r="E801">
        <v>20</v>
      </c>
    </row>
    <row r="802" spans="1:5" x14ac:dyDescent="0.2">
      <c r="A802" t="s">
        <v>818</v>
      </c>
      <c r="B802" t="s">
        <v>8</v>
      </c>
      <c r="C802">
        <v>1</v>
      </c>
      <c r="D802">
        <v>1</v>
      </c>
      <c r="E802">
        <v>40</v>
      </c>
    </row>
    <row r="803" spans="1:5" x14ac:dyDescent="0.2">
      <c r="A803" t="s">
        <v>819</v>
      </c>
      <c r="B803" t="s">
        <v>15</v>
      </c>
      <c r="C803">
        <v>1</v>
      </c>
      <c r="D803">
        <v>0</v>
      </c>
      <c r="E803">
        <v>20</v>
      </c>
    </row>
    <row r="804" spans="1:5" x14ac:dyDescent="0.2">
      <c r="A804" t="s">
        <v>820</v>
      </c>
      <c r="B804" t="s">
        <v>53</v>
      </c>
      <c r="C804">
        <v>0</v>
      </c>
      <c r="D804">
        <v>1</v>
      </c>
      <c r="E804">
        <v>10</v>
      </c>
    </row>
    <row r="805" spans="1:5" x14ac:dyDescent="0.2">
      <c r="A805" t="s">
        <v>821</v>
      </c>
      <c r="B805" t="s">
        <v>53</v>
      </c>
      <c r="C805">
        <v>1</v>
      </c>
      <c r="D805">
        <v>1</v>
      </c>
      <c r="E805">
        <v>40</v>
      </c>
    </row>
    <row r="806" spans="1:5" x14ac:dyDescent="0.2">
      <c r="A806" t="s">
        <v>822</v>
      </c>
      <c r="B806" t="s">
        <v>37</v>
      </c>
      <c r="C806">
        <v>0</v>
      </c>
      <c r="D806">
        <v>1</v>
      </c>
      <c r="E806">
        <v>40</v>
      </c>
    </row>
    <row r="807" spans="1:5" x14ac:dyDescent="0.2">
      <c r="A807" t="s">
        <v>823</v>
      </c>
      <c r="B807" t="s">
        <v>13</v>
      </c>
      <c r="C807">
        <v>1</v>
      </c>
      <c r="D807">
        <v>0</v>
      </c>
      <c r="E807">
        <v>20</v>
      </c>
    </row>
    <row r="808" spans="1:5" x14ac:dyDescent="0.2">
      <c r="A808" t="s">
        <v>824</v>
      </c>
      <c r="B808" t="s">
        <v>28</v>
      </c>
      <c r="C808">
        <v>0</v>
      </c>
      <c r="D808">
        <v>1</v>
      </c>
      <c r="E808">
        <v>10</v>
      </c>
    </row>
    <row r="809" spans="1:5" x14ac:dyDescent="0.2">
      <c r="A809" t="s">
        <v>825</v>
      </c>
      <c r="B809" t="s">
        <v>15</v>
      </c>
      <c r="C809">
        <v>0</v>
      </c>
      <c r="D809">
        <v>0</v>
      </c>
      <c r="E809">
        <v>20</v>
      </c>
    </row>
    <row r="810" spans="1:5" x14ac:dyDescent="0.2">
      <c r="A810" t="s">
        <v>826</v>
      </c>
      <c r="B810" t="s">
        <v>46</v>
      </c>
      <c r="C810">
        <v>1</v>
      </c>
      <c r="D810">
        <v>1</v>
      </c>
      <c r="E810">
        <v>4</v>
      </c>
    </row>
    <row r="811" spans="1:5" x14ac:dyDescent="0.2">
      <c r="A811" t="s">
        <v>827</v>
      </c>
      <c r="B811" t="s">
        <v>61</v>
      </c>
      <c r="C811">
        <v>1</v>
      </c>
      <c r="D811">
        <v>1</v>
      </c>
      <c r="E811">
        <v>40</v>
      </c>
    </row>
    <row r="812" spans="1:5" x14ac:dyDescent="0.2">
      <c r="A812" t="s">
        <v>828</v>
      </c>
      <c r="B812" t="s">
        <v>8</v>
      </c>
      <c r="C812">
        <v>0</v>
      </c>
      <c r="D812">
        <v>0</v>
      </c>
      <c r="E812">
        <v>70</v>
      </c>
    </row>
    <row r="813" spans="1:5" x14ac:dyDescent="0.2">
      <c r="A813" t="s">
        <v>829</v>
      </c>
      <c r="B813" t="s">
        <v>6</v>
      </c>
      <c r="C813">
        <v>1</v>
      </c>
      <c r="D813">
        <v>1</v>
      </c>
      <c r="E813">
        <v>70</v>
      </c>
    </row>
    <row r="814" spans="1:5" x14ac:dyDescent="0.2">
      <c r="A814" t="s">
        <v>830</v>
      </c>
      <c r="B814" t="s">
        <v>46</v>
      </c>
      <c r="C814">
        <v>1</v>
      </c>
      <c r="D814">
        <v>1</v>
      </c>
      <c r="E814">
        <v>70</v>
      </c>
    </row>
    <row r="815" spans="1:5" x14ac:dyDescent="0.2">
      <c r="A815" t="s">
        <v>831</v>
      </c>
      <c r="B815" t="s">
        <v>37</v>
      </c>
      <c r="C815">
        <v>1</v>
      </c>
      <c r="D815">
        <v>1</v>
      </c>
      <c r="E815">
        <v>40</v>
      </c>
    </row>
    <row r="816" spans="1:5" x14ac:dyDescent="0.2">
      <c r="A816" t="s">
        <v>832</v>
      </c>
      <c r="B816" t="s">
        <v>17</v>
      </c>
      <c r="C816">
        <v>1</v>
      </c>
      <c r="D816">
        <v>1</v>
      </c>
      <c r="E816">
        <v>70</v>
      </c>
    </row>
    <row r="817" spans="1:5" x14ac:dyDescent="0.2">
      <c r="A817" t="s">
        <v>833</v>
      </c>
      <c r="B817" t="s">
        <v>6</v>
      </c>
      <c r="C817">
        <v>0</v>
      </c>
      <c r="D817">
        <v>1</v>
      </c>
      <c r="E817">
        <v>4</v>
      </c>
    </row>
    <row r="818" spans="1:5" x14ac:dyDescent="0.2">
      <c r="A818" t="s">
        <v>834</v>
      </c>
      <c r="B818" t="s">
        <v>53</v>
      </c>
      <c r="C818">
        <v>0</v>
      </c>
      <c r="D818">
        <v>1</v>
      </c>
      <c r="E818">
        <v>70</v>
      </c>
    </row>
    <row r="819" spans="1:5" x14ac:dyDescent="0.2">
      <c r="A819" t="s">
        <v>835</v>
      </c>
      <c r="B819" t="s">
        <v>6</v>
      </c>
      <c r="C819">
        <v>1</v>
      </c>
      <c r="D819">
        <v>1</v>
      </c>
      <c r="E819">
        <v>10</v>
      </c>
    </row>
    <row r="820" spans="1:5" x14ac:dyDescent="0.2">
      <c r="A820" t="s">
        <v>836</v>
      </c>
      <c r="B820" t="s">
        <v>53</v>
      </c>
      <c r="C820">
        <v>1</v>
      </c>
      <c r="D820">
        <v>1</v>
      </c>
      <c r="E820">
        <v>20</v>
      </c>
    </row>
    <row r="821" spans="1:5" x14ac:dyDescent="0.2">
      <c r="A821" t="s">
        <v>837</v>
      </c>
      <c r="B821" t="s">
        <v>11</v>
      </c>
      <c r="C821">
        <v>0</v>
      </c>
      <c r="D821">
        <v>1</v>
      </c>
      <c r="E821">
        <v>10</v>
      </c>
    </row>
    <row r="822" spans="1:5" x14ac:dyDescent="0.2">
      <c r="A822" t="s">
        <v>838</v>
      </c>
      <c r="B822" t="s">
        <v>13</v>
      </c>
      <c r="C822">
        <v>1</v>
      </c>
      <c r="D822">
        <v>1</v>
      </c>
      <c r="E822">
        <v>70</v>
      </c>
    </row>
    <row r="823" spans="1:5" x14ac:dyDescent="0.2">
      <c r="A823" t="s">
        <v>839</v>
      </c>
      <c r="B823" t="s">
        <v>28</v>
      </c>
      <c r="C823">
        <v>1</v>
      </c>
      <c r="D823">
        <v>1</v>
      </c>
      <c r="E823">
        <v>10</v>
      </c>
    </row>
    <row r="824" spans="1:5" x14ac:dyDescent="0.2">
      <c r="A824" t="s">
        <v>840</v>
      </c>
      <c r="B824" t="s">
        <v>8</v>
      </c>
      <c r="C824">
        <v>1</v>
      </c>
      <c r="D824">
        <v>1</v>
      </c>
      <c r="E824">
        <v>20</v>
      </c>
    </row>
    <row r="825" spans="1:5" x14ac:dyDescent="0.2">
      <c r="A825" t="s">
        <v>841</v>
      </c>
      <c r="B825" t="s">
        <v>53</v>
      </c>
      <c r="C825">
        <v>1</v>
      </c>
      <c r="D825">
        <v>1</v>
      </c>
      <c r="E825">
        <v>10</v>
      </c>
    </row>
    <row r="826" spans="1:5" x14ac:dyDescent="0.2">
      <c r="A826" t="s">
        <v>842</v>
      </c>
      <c r="B826" t="s">
        <v>37</v>
      </c>
      <c r="C826">
        <v>0</v>
      </c>
      <c r="D826">
        <v>0</v>
      </c>
      <c r="E826">
        <v>70</v>
      </c>
    </row>
    <row r="827" spans="1:5" x14ac:dyDescent="0.2">
      <c r="A827" t="s">
        <v>843</v>
      </c>
      <c r="B827" t="s">
        <v>15</v>
      </c>
      <c r="C827">
        <v>1</v>
      </c>
      <c r="D827">
        <v>1</v>
      </c>
      <c r="E827">
        <v>4</v>
      </c>
    </row>
    <row r="828" spans="1:5" x14ac:dyDescent="0.2">
      <c r="A828" t="s">
        <v>844</v>
      </c>
      <c r="B828" t="s">
        <v>19</v>
      </c>
      <c r="C828">
        <v>0</v>
      </c>
      <c r="D828">
        <v>0</v>
      </c>
      <c r="E828">
        <v>20</v>
      </c>
    </row>
    <row r="829" spans="1:5" x14ac:dyDescent="0.2">
      <c r="A829" t="s">
        <v>845</v>
      </c>
      <c r="B829" t="s">
        <v>37</v>
      </c>
      <c r="C829">
        <v>1</v>
      </c>
      <c r="D829">
        <v>1</v>
      </c>
      <c r="E829">
        <v>10</v>
      </c>
    </row>
    <row r="830" spans="1:5" x14ac:dyDescent="0.2">
      <c r="A830" t="s">
        <v>846</v>
      </c>
      <c r="B830" t="s">
        <v>17</v>
      </c>
      <c r="C830">
        <v>1</v>
      </c>
      <c r="D830">
        <v>1</v>
      </c>
      <c r="E830">
        <v>20</v>
      </c>
    </row>
    <row r="831" spans="1:5" x14ac:dyDescent="0.2">
      <c r="A831" t="s">
        <v>847</v>
      </c>
      <c r="B831" t="s">
        <v>23</v>
      </c>
      <c r="C831">
        <v>1</v>
      </c>
      <c r="D831">
        <v>0</v>
      </c>
      <c r="E831">
        <v>70</v>
      </c>
    </row>
    <row r="832" spans="1:5" x14ac:dyDescent="0.2">
      <c r="A832" t="s">
        <v>848</v>
      </c>
      <c r="B832" t="s">
        <v>13</v>
      </c>
      <c r="C832">
        <v>1</v>
      </c>
      <c r="D832">
        <v>1</v>
      </c>
      <c r="E832">
        <v>40</v>
      </c>
    </row>
    <row r="833" spans="1:5" x14ac:dyDescent="0.2">
      <c r="A833" t="s">
        <v>849</v>
      </c>
      <c r="B833" t="s">
        <v>19</v>
      </c>
      <c r="C833">
        <v>1</v>
      </c>
      <c r="D833">
        <v>1</v>
      </c>
      <c r="E833">
        <v>4</v>
      </c>
    </row>
    <row r="834" spans="1:5" x14ac:dyDescent="0.2">
      <c r="A834" t="s">
        <v>850</v>
      </c>
      <c r="B834" t="s">
        <v>37</v>
      </c>
      <c r="C834">
        <v>0</v>
      </c>
      <c r="D834">
        <v>1</v>
      </c>
      <c r="E834">
        <v>70</v>
      </c>
    </row>
    <row r="835" spans="1:5" x14ac:dyDescent="0.2">
      <c r="A835" t="s">
        <v>851</v>
      </c>
      <c r="B835" t="s">
        <v>15</v>
      </c>
      <c r="C835">
        <v>1</v>
      </c>
      <c r="D835">
        <v>1</v>
      </c>
      <c r="E835">
        <v>10</v>
      </c>
    </row>
    <row r="836" spans="1:5" x14ac:dyDescent="0.2">
      <c r="A836" t="s">
        <v>852</v>
      </c>
      <c r="B836" t="s">
        <v>17</v>
      </c>
      <c r="C836">
        <v>1</v>
      </c>
      <c r="D836">
        <v>1</v>
      </c>
      <c r="E836">
        <v>20</v>
      </c>
    </row>
    <row r="837" spans="1:5" x14ac:dyDescent="0.2">
      <c r="A837" t="s">
        <v>853</v>
      </c>
      <c r="B837" t="s">
        <v>23</v>
      </c>
      <c r="C837">
        <v>1</v>
      </c>
      <c r="D837">
        <v>1</v>
      </c>
      <c r="E837">
        <v>10</v>
      </c>
    </row>
    <row r="838" spans="1:5" x14ac:dyDescent="0.2">
      <c r="A838" t="s">
        <v>854</v>
      </c>
      <c r="B838" t="s">
        <v>37</v>
      </c>
      <c r="C838">
        <v>0</v>
      </c>
      <c r="D838">
        <v>0</v>
      </c>
      <c r="E838">
        <v>20</v>
      </c>
    </row>
    <row r="839" spans="1:5" x14ac:dyDescent="0.2">
      <c r="A839" t="s">
        <v>855</v>
      </c>
      <c r="B839" t="s">
        <v>37</v>
      </c>
      <c r="C839">
        <v>1</v>
      </c>
      <c r="D839">
        <v>1</v>
      </c>
      <c r="E839">
        <v>4</v>
      </c>
    </row>
    <row r="840" spans="1:5" x14ac:dyDescent="0.2">
      <c r="A840" t="s">
        <v>856</v>
      </c>
      <c r="B840" t="s">
        <v>28</v>
      </c>
      <c r="C840">
        <v>1</v>
      </c>
      <c r="D840">
        <v>1</v>
      </c>
      <c r="E840">
        <v>20</v>
      </c>
    </row>
    <row r="841" spans="1:5" x14ac:dyDescent="0.2">
      <c r="A841" t="s">
        <v>857</v>
      </c>
      <c r="B841" t="s">
        <v>23</v>
      </c>
      <c r="C841">
        <v>1</v>
      </c>
      <c r="D841">
        <v>1</v>
      </c>
      <c r="E841">
        <v>10</v>
      </c>
    </row>
    <row r="842" spans="1:5" x14ac:dyDescent="0.2">
      <c r="A842" t="s">
        <v>858</v>
      </c>
      <c r="B842" t="s">
        <v>17</v>
      </c>
      <c r="C842">
        <v>1</v>
      </c>
      <c r="D842">
        <v>1</v>
      </c>
      <c r="E842">
        <v>20</v>
      </c>
    </row>
    <row r="843" spans="1:5" x14ac:dyDescent="0.2">
      <c r="A843" t="s">
        <v>859</v>
      </c>
      <c r="B843" t="s">
        <v>23</v>
      </c>
      <c r="C843">
        <v>0</v>
      </c>
      <c r="D843">
        <v>0</v>
      </c>
      <c r="E843">
        <v>40</v>
      </c>
    </row>
    <row r="844" spans="1:5" x14ac:dyDescent="0.2">
      <c r="A844" t="s">
        <v>860</v>
      </c>
      <c r="B844" t="s">
        <v>28</v>
      </c>
      <c r="C844">
        <v>0</v>
      </c>
      <c r="D844">
        <v>0</v>
      </c>
      <c r="E844">
        <v>4</v>
      </c>
    </row>
    <row r="845" spans="1:5" x14ac:dyDescent="0.2">
      <c r="A845" t="s">
        <v>861</v>
      </c>
      <c r="B845" t="s">
        <v>15</v>
      </c>
      <c r="C845">
        <v>0</v>
      </c>
      <c r="D845">
        <v>1</v>
      </c>
      <c r="E845">
        <v>70</v>
      </c>
    </row>
    <row r="846" spans="1:5" x14ac:dyDescent="0.2">
      <c r="A846" t="s">
        <v>862</v>
      </c>
      <c r="B846" t="s">
        <v>23</v>
      </c>
      <c r="C846">
        <v>1</v>
      </c>
      <c r="D846">
        <v>1</v>
      </c>
      <c r="E846">
        <v>40</v>
      </c>
    </row>
    <row r="847" spans="1:5" x14ac:dyDescent="0.2">
      <c r="A847" t="s">
        <v>863</v>
      </c>
      <c r="B847" t="s">
        <v>40</v>
      </c>
      <c r="C847">
        <v>0</v>
      </c>
      <c r="D847">
        <v>1</v>
      </c>
      <c r="E847">
        <v>20</v>
      </c>
    </row>
    <row r="848" spans="1:5" x14ac:dyDescent="0.2">
      <c r="A848" t="s">
        <v>864</v>
      </c>
      <c r="B848" t="s">
        <v>61</v>
      </c>
      <c r="C848">
        <v>1</v>
      </c>
      <c r="D848">
        <v>0</v>
      </c>
      <c r="E848">
        <v>20</v>
      </c>
    </row>
    <row r="849" spans="1:5" x14ac:dyDescent="0.2">
      <c r="A849" t="s">
        <v>865</v>
      </c>
      <c r="B849" t="s">
        <v>61</v>
      </c>
      <c r="C849">
        <v>1</v>
      </c>
      <c r="D849">
        <v>1</v>
      </c>
      <c r="E849">
        <v>4</v>
      </c>
    </row>
    <row r="850" spans="1:5" x14ac:dyDescent="0.2">
      <c r="A850" t="s">
        <v>866</v>
      </c>
      <c r="B850" t="s">
        <v>13</v>
      </c>
      <c r="C850">
        <v>1</v>
      </c>
      <c r="D850">
        <v>1</v>
      </c>
      <c r="E850">
        <v>10</v>
      </c>
    </row>
    <row r="851" spans="1:5" x14ac:dyDescent="0.2">
      <c r="A851" t="s">
        <v>867</v>
      </c>
      <c r="B851" t="s">
        <v>28</v>
      </c>
      <c r="C851">
        <v>1</v>
      </c>
      <c r="D851">
        <v>1</v>
      </c>
      <c r="E851">
        <v>20</v>
      </c>
    </row>
    <row r="852" spans="1:5" x14ac:dyDescent="0.2">
      <c r="A852" t="s">
        <v>868</v>
      </c>
      <c r="B852" t="s">
        <v>13</v>
      </c>
      <c r="C852">
        <v>0</v>
      </c>
      <c r="D852">
        <v>0</v>
      </c>
      <c r="E852">
        <v>4</v>
      </c>
    </row>
    <row r="853" spans="1:5" x14ac:dyDescent="0.2">
      <c r="A853" t="s">
        <v>869</v>
      </c>
      <c r="B853" t="s">
        <v>26</v>
      </c>
      <c r="C853">
        <v>1</v>
      </c>
      <c r="D853">
        <v>1</v>
      </c>
      <c r="E853">
        <v>10</v>
      </c>
    </row>
    <row r="854" spans="1:5" x14ac:dyDescent="0.2">
      <c r="A854" t="s">
        <v>870</v>
      </c>
      <c r="B854" t="s">
        <v>53</v>
      </c>
      <c r="C854">
        <v>0</v>
      </c>
      <c r="D854">
        <v>1</v>
      </c>
      <c r="E854">
        <v>70</v>
      </c>
    </row>
    <row r="855" spans="1:5" x14ac:dyDescent="0.2">
      <c r="A855" t="s">
        <v>871</v>
      </c>
      <c r="B855" t="s">
        <v>17</v>
      </c>
      <c r="C855">
        <v>1</v>
      </c>
      <c r="D855">
        <v>1</v>
      </c>
      <c r="E855">
        <v>4</v>
      </c>
    </row>
    <row r="856" spans="1:5" x14ac:dyDescent="0.2">
      <c r="A856" t="s">
        <v>872</v>
      </c>
      <c r="B856" t="s">
        <v>28</v>
      </c>
      <c r="C856">
        <v>0</v>
      </c>
      <c r="D856">
        <v>1</v>
      </c>
      <c r="E856">
        <v>10</v>
      </c>
    </row>
    <row r="857" spans="1:5" x14ac:dyDescent="0.2">
      <c r="A857" t="s">
        <v>873</v>
      </c>
      <c r="B857" t="s">
        <v>17</v>
      </c>
      <c r="C857">
        <v>1</v>
      </c>
      <c r="D857">
        <v>1</v>
      </c>
      <c r="E857">
        <v>40</v>
      </c>
    </row>
    <row r="858" spans="1:5" x14ac:dyDescent="0.2">
      <c r="A858" t="s">
        <v>874</v>
      </c>
      <c r="B858" t="s">
        <v>40</v>
      </c>
      <c r="C858">
        <v>1</v>
      </c>
      <c r="D858">
        <v>1</v>
      </c>
      <c r="E858">
        <v>40</v>
      </c>
    </row>
    <row r="859" spans="1:5" x14ac:dyDescent="0.2">
      <c r="A859" t="s">
        <v>875</v>
      </c>
      <c r="B859" t="s">
        <v>15</v>
      </c>
      <c r="C859">
        <v>1</v>
      </c>
      <c r="D859">
        <v>1</v>
      </c>
      <c r="E859">
        <v>40</v>
      </c>
    </row>
    <row r="860" spans="1:5" x14ac:dyDescent="0.2">
      <c r="A860" t="s">
        <v>876</v>
      </c>
      <c r="B860" t="s">
        <v>46</v>
      </c>
      <c r="C860">
        <v>1</v>
      </c>
      <c r="D860">
        <v>1</v>
      </c>
      <c r="E860">
        <v>20</v>
      </c>
    </row>
    <row r="861" spans="1:5" x14ac:dyDescent="0.2">
      <c r="A861" t="s">
        <v>877</v>
      </c>
      <c r="B861" t="s">
        <v>15</v>
      </c>
      <c r="C861">
        <v>1</v>
      </c>
      <c r="D861">
        <v>0</v>
      </c>
      <c r="E861">
        <v>70</v>
      </c>
    </row>
    <row r="862" spans="1:5" x14ac:dyDescent="0.2">
      <c r="A862" t="s">
        <v>878</v>
      </c>
      <c r="B862" t="s">
        <v>13</v>
      </c>
      <c r="C862">
        <v>0</v>
      </c>
      <c r="D862">
        <v>1</v>
      </c>
      <c r="E862">
        <v>20</v>
      </c>
    </row>
    <row r="863" spans="1:5" x14ac:dyDescent="0.2">
      <c r="A863" t="s">
        <v>879</v>
      </c>
      <c r="B863" t="s">
        <v>17</v>
      </c>
      <c r="C863">
        <v>0</v>
      </c>
      <c r="D863">
        <v>1</v>
      </c>
      <c r="E863">
        <v>20</v>
      </c>
    </row>
    <row r="864" spans="1:5" x14ac:dyDescent="0.2">
      <c r="A864" t="s">
        <v>880</v>
      </c>
      <c r="B864" t="s">
        <v>8</v>
      </c>
      <c r="C864">
        <v>0</v>
      </c>
      <c r="D864">
        <v>0</v>
      </c>
      <c r="E864">
        <v>70</v>
      </c>
    </row>
    <row r="865" spans="1:5" x14ac:dyDescent="0.2">
      <c r="A865" t="s">
        <v>881</v>
      </c>
      <c r="B865" t="s">
        <v>40</v>
      </c>
      <c r="C865">
        <v>1</v>
      </c>
      <c r="D865">
        <v>1</v>
      </c>
      <c r="E865">
        <v>70</v>
      </c>
    </row>
    <row r="866" spans="1:5" x14ac:dyDescent="0.2">
      <c r="A866" t="s">
        <v>882</v>
      </c>
      <c r="B866" t="s">
        <v>13</v>
      </c>
      <c r="C866">
        <v>0</v>
      </c>
      <c r="D866">
        <v>0</v>
      </c>
      <c r="E866">
        <v>4</v>
      </c>
    </row>
    <row r="867" spans="1:5" x14ac:dyDescent="0.2">
      <c r="A867" t="s">
        <v>883</v>
      </c>
      <c r="B867" t="s">
        <v>61</v>
      </c>
      <c r="C867">
        <v>1</v>
      </c>
      <c r="D867">
        <v>1</v>
      </c>
      <c r="E867">
        <v>70</v>
      </c>
    </row>
    <row r="868" spans="1:5" x14ac:dyDescent="0.2">
      <c r="A868" t="s">
        <v>884</v>
      </c>
      <c r="B868" t="s">
        <v>26</v>
      </c>
      <c r="C868">
        <v>1</v>
      </c>
      <c r="D868">
        <v>0</v>
      </c>
      <c r="E868">
        <v>4</v>
      </c>
    </row>
    <row r="869" spans="1:5" x14ac:dyDescent="0.2">
      <c r="A869" t="s">
        <v>885</v>
      </c>
      <c r="B869" t="s">
        <v>23</v>
      </c>
      <c r="C869">
        <v>1</v>
      </c>
      <c r="D869">
        <v>1</v>
      </c>
      <c r="E869">
        <v>40</v>
      </c>
    </row>
    <row r="870" spans="1:5" x14ac:dyDescent="0.2">
      <c r="A870" t="s">
        <v>886</v>
      </c>
      <c r="B870" t="s">
        <v>19</v>
      </c>
      <c r="C870">
        <v>0</v>
      </c>
      <c r="D870">
        <v>1</v>
      </c>
      <c r="E870">
        <v>4</v>
      </c>
    </row>
    <row r="871" spans="1:5" x14ac:dyDescent="0.2">
      <c r="A871" t="s">
        <v>887</v>
      </c>
      <c r="B871" t="s">
        <v>53</v>
      </c>
      <c r="C871">
        <v>0</v>
      </c>
      <c r="D871">
        <v>1</v>
      </c>
      <c r="E871">
        <v>10</v>
      </c>
    </row>
    <row r="872" spans="1:5" x14ac:dyDescent="0.2">
      <c r="A872" t="s">
        <v>888</v>
      </c>
      <c r="B872" t="s">
        <v>28</v>
      </c>
      <c r="C872">
        <v>1</v>
      </c>
      <c r="D872">
        <v>0</v>
      </c>
      <c r="E872">
        <v>40</v>
      </c>
    </row>
    <row r="873" spans="1:5" x14ac:dyDescent="0.2">
      <c r="A873" t="s">
        <v>889</v>
      </c>
      <c r="B873" t="s">
        <v>6</v>
      </c>
      <c r="C873">
        <v>1</v>
      </c>
      <c r="D873">
        <v>1</v>
      </c>
      <c r="E873">
        <v>40</v>
      </c>
    </row>
    <row r="874" spans="1:5" x14ac:dyDescent="0.2">
      <c r="A874" t="s">
        <v>890</v>
      </c>
      <c r="B874" t="s">
        <v>46</v>
      </c>
      <c r="C874">
        <v>0</v>
      </c>
      <c r="D874">
        <v>1</v>
      </c>
      <c r="E874">
        <v>10</v>
      </c>
    </row>
    <row r="875" spans="1:5" x14ac:dyDescent="0.2">
      <c r="A875" t="s">
        <v>241</v>
      </c>
      <c r="B875" t="s">
        <v>53</v>
      </c>
      <c r="C875">
        <v>0</v>
      </c>
      <c r="D875">
        <v>0</v>
      </c>
      <c r="E875">
        <v>70</v>
      </c>
    </row>
    <row r="876" spans="1:5" x14ac:dyDescent="0.2">
      <c r="A876" t="s">
        <v>891</v>
      </c>
      <c r="B876" t="s">
        <v>40</v>
      </c>
      <c r="C876">
        <v>1</v>
      </c>
      <c r="D876">
        <v>1</v>
      </c>
      <c r="E876">
        <v>10</v>
      </c>
    </row>
    <row r="877" spans="1:5" x14ac:dyDescent="0.2">
      <c r="A877" t="s">
        <v>892</v>
      </c>
      <c r="B877" t="s">
        <v>6</v>
      </c>
      <c r="C877">
        <v>0</v>
      </c>
      <c r="D877">
        <v>1</v>
      </c>
      <c r="E877">
        <v>4</v>
      </c>
    </row>
    <row r="878" spans="1:5" x14ac:dyDescent="0.2">
      <c r="A878" t="s">
        <v>893</v>
      </c>
      <c r="B878" t="s">
        <v>53</v>
      </c>
      <c r="C878">
        <v>0</v>
      </c>
      <c r="D878">
        <v>1</v>
      </c>
      <c r="E878">
        <v>20</v>
      </c>
    </row>
    <row r="879" spans="1:5" x14ac:dyDescent="0.2">
      <c r="A879" t="s">
        <v>894</v>
      </c>
      <c r="B879" t="s">
        <v>17</v>
      </c>
      <c r="C879">
        <v>1</v>
      </c>
      <c r="D879">
        <v>1</v>
      </c>
      <c r="E879">
        <v>40</v>
      </c>
    </row>
    <row r="880" spans="1:5" x14ac:dyDescent="0.2">
      <c r="A880" t="s">
        <v>895</v>
      </c>
      <c r="B880" t="s">
        <v>26</v>
      </c>
      <c r="C880">
        <v>0</v>
      </c>
      <c r="D880">
        <v>0</v>
      </c>
      <c r="E880">
        <v>10</v>
      </c>
    </row>
    <row r="881" spans="1:5" x14ac:dyDescent="0.2">
      <c r="A881" t="s">
        <v>896</v>
      </c>
      <c r="B881" t="s">
        <v>13</v>
      </c>
      <c r="C881">
        <v>1</v>
      </c>
      <c r="D881">
        <v>1</v>
      </c>
      <c r="E881">
        <v>10</v>
      </c>
    </row>
    <row r="882" spans="1:5" x14ac:dyDescent="0.2">
      <c r="A882" t="s">
        <v>897</v>
      </c>
      <c r="B882" t="s">
        <v>19</v>
      </c>
      <c r="C882">
        <v>0</v>
      </c>
      <c r="D882">
        <v>0</v>
      </c>
      <c r="E882">
        <v>20</v>
      </c>
    </row>
    <row r="883" spans="1:5" x14ac:dyDescent="0.2">
      <c r="A883" t="s">
        <v>898</v>
      </c>
      <c r="B883" t="s">
        <v>23</v>
      </c>
      <c r="C883">
        <v>1</v>
      </c>
      <c r="D883">
        <v>1</v>
      </c>
      <c r="E883">
        <v>4</v>
      </c>
    </row>
    <row r="884" spans="1:5" x14ac:dyDescent="0.2">
      <c r="A884" t="s">
        <v>899</v>
      </c>
      <c r="B884" t="s">
        <v>6</v>
      </c>
      <c r="C884">
        <v>1</v>
      </c>
      <c r="D884">
        <v>1</v>
      </c>
      <c r="E884">
        <v>20</v>
      </c>
    </row>
    <row r="885" spans="1:5" x14ac:dyDescent="0.2">
      <c r="A885" t="s">
        <v>900</v>
      </c>
      <c r="B885" t="s">
        <v>13</v>
      </c>
      <c r="C885">
        <v>0</v>
      </c>
      <c r="D885">
        <v>1</v>
      </c>
      <c r="E885">
        <v>10</v>
      </c>
    </row>
    <row r="886" spans="1:5" x14ac:dyDescent="0.2">
      <c r="A886" t="s">
        <v>901</v>
      </c>
      <c r="B886" t="s">
        <v>17</v>
      </c>
      <c r="C886">
        <v>1</v>
      </c>
      <c r="D886">
        <v>0</v>
      </c>
      <c r="E886">
        <v>70</v>
      </c>
    </row>
    <row r="887" spans="1:5" x14ac:dyDescent="0.2">
      <c r="A887" t="s">
        <v>902</v>
      </c>
      <c r="B887" t="s">
        <v>11</v>
      </c>
      <c r="C887">
        <v>1</v>
      </c>
      <c r="D887">
        <v>0</v>
      </c>
      <c r="E887">
        <v>70</v>
      </c>
    </row>
    <row r="888" spans="1:5" x14ac:dyDescent="0.2">
      <c r="A888" t="s">
        <v>903</v>
      </c>
      <c r="B888" t="s">
        <v>26</v>
      </c>
      <c r="C888">
        <v>1</v>
      </c>
      <c r="D888">
        <v>1</v>
      </c>
      <c r="E888">
        <v>70</v>
      </c>
    </row>
    <row r="889" spans="1:5" x14ac:dyDescent="0.2">
      <c r="A889" t="s">
        <v>904</v>
      </c>
      <c r="B889" t="s">
        <v>19</v>
      </c>
      <c r="C889">
        <v>0</v>
      </c>
      <c r="D889">
        <v>0</v>
      </c>
      <c r="E889">
        <v>20</v>
      </c>
    </row>
    <row r="890" spans="1:5" x14ac:dyDescent="0.2">
      <c r="A890" t="s">
        <v>905</v>
      </c>
      <c r="B890" t="s">
        <v>46</v>
      </c>
      <c r="C890">
        <v>0</v>
      </c>
      <c r="D890">
        <v>1</v>
      </c>
      <c r="E890">
        <v>4</v>
      </c>
    </row>
    <row r="891" spans="1:5" x14ac:dyDescent="0.2">
      <c r="A891" t="s">
        <v>906</v>
      </c>
      <c r="B891" t="s">
        <v>37</v>
      </c>
      <c r="C891">
        <v>0</v>
      </c>
      <c r="D891">
        <v>1</v>
      </c>
      <c r="E891">
        <v>40</v>
      </c>
    </row>
    <row r="892" spans="1:5" x14ac:dyDescent="0.2">
      <c r="A892" t="s">
        <v>907</v>
      </c>
      <c r="B892" t="s">
        <v>8</v>
      </c>
      <c r="C892">
        <v>1</v>
      </c>
      <c r="D892">
        <v>1</v>
      </c>
      <c r="E892">
        <v>20</v>
      </c>
    </row>
    <row r="893" spans="1:5" x14ac:dyDescent="0.2">
      <c r="A893" t="s">
        <v>908</v>
      </c>
      <c r="B893" t="s">
        <v>6</v>
      </c>
      <c r="C893">
        <v>0</v>
      </c>
      <c r="D893">
        <v>0</v>
      </c>
      <c r="E893">
        <v>10</v>
      </c>
    </row>
    <row r="894" spans="1:5" x14ac:dyDescent="0.2">
      <c r="A894" t="s">
        <v>909</v>
      </c>
      <c r="B894" t="s">
        <v>37</v>
      </c>
      <c r="C894">
        <v>1</v>
      </c>
      <c r="D894">
        <v>1</v>
      </c>
      <c r="E894">
        <v>20</v>
      </c>
    </row>
    <row r="895" spans="1:5" x14ac:dyDescent="0.2">
      <c r="A895" t="s">
        <v>910</v>
      </c>
      <c r="B895" t="s">
        <v>40</v>
      </c>
      <c r="C895">
        <v>0</v>
      </c>
      <c r="D895">
        <v>1</v>
      </c>
      <c r="E895">
        <v>4</v>
      </c>
    </row>
    <row r="896" spans="1:5" x14ac:dyDescent="0.2">
      <c r="A896" t="s">
        <v>911</v>
      </c>
      <c r="B896" t="s">
        <v>15</v>
      </c>
      <c r="C896">
        <v>0</v>
      </c>
      <c r="D896">
        <v>0</v>
      </c>
      <c r="E896">
        <v>10</v>
      </c>
    </row>
    <row r="897" spans="1:5" x14ac:dyDescent="0.2">
      <c r="A897" t="s">
        <v>912</v>
      </c>
      <c r="B897" t="s">
        <v>6</v>
      </c>
      <c r="C897">
        <v>1</v>
      </c>
      <c r="D897">
        <v>1</v>
      </c>
      <c r="E897">
        <v>40</v>
      </c>
    </row>
    <row r="898" spans="1:5" x14ac:dyDescent="0.2">
      <c r="A898" t="s">
        <v>913</v>
      </c>
      <c r="B898" t="s">
        <v>53</v>
      </c>
      <c r="C898">
        <v>1</v>
      </c>
      <c r="D898">
        <v>1</v>
      </c>
      <c r="E898">
        <v>20</v>
      </c>
    </row>
    <row r="899" spans="1:5" x14ac:dyDescent="0.2">
      <c r="A899" t="s">
        <v>914</v>
      </c>
      <c r="B899" t="s">
        <v>37</v>
      </c>
      <c r="C899">
        <v>0</v>
      </c>
      <c r="D899">
        <v>1</v>
      </c>
      <c r="E899">
        <v>4</v>
      </c>
    </row>
    <row r="900" spans="1:5" x14ac:dyDescent="0.2">
      <c r="A900" t="s">
        <v>915</v>
      </c>
      <c r="B900" t="s">
        <v>61</v>
      </c>
      <c r="C900">
        <v>0</v>
      </c>
      <c r="D900">
        <v>0</v>
      </c>
      <c r="E900">
        <v>70</v>
      </c>
    </row>
    <row r="901" spans="1:5" x14ac:dyDescent="0.2">
      <c r="A901" t="s">
        <v>916</v>
      </c>
      <c r="B901" t="s">
        <v>19</v>
      </c>
      <c r="C901">
        <v>1</v>
      </c>
      <c r="D901">
        <v>0</v>
      </c>
      <c r="E901">
        <v>10</v>
      </c>
    </row>
    <row r="902" spans="1:5" x14ac:dyDescent="0.2">
      <c r="A902" t="s">
        <v>917</v>
      </c>
      <c r="B902" t="s">
        <v>28</v>
      </c>
      <c r="C902">
        <v>0</v>
      </c>
      <c r="D902">
        <v>1</v>
      </c>
      <c r="E902">
        <v>40</v>
      </c>
    </row>
    <row r="903" spans="1:5" x14ac:dyDescent="0.2">
      <c r="A903" t="s">
        <v>918</v>
      </c>
      <c r="B903" t="s">
        <v>13</v>
      </c>
      <c r="C903">
        <v>1</v>
      </c>
      <c r="D903">
        <v>1</v>
      </c>
      <c r="E903">
        <v>40</v>
      </c>
    </row>
    <row r="904" spans="1:5" x14ac:dyDescent="0.2">
      <c r="A904" t="s">
        <v>919</v>
      </c>
      <c r="B904" t="s">
        <v>19</v>
      </c>
      <c r="C904">
        <v>1</v>
      </c>
      <c r="D904">
        <v>1</v>
      </c>
      <c r="E904">
        <v>40</v>
      </c>
    </row>
    <row r="905" spans="1:5" x14ac:dyDescent="0.2">
      <c r="A905" t="s">
        <v>920</v>
      </c>
      <c r="B905" t="s">
        <v>28</v>
      </c>
      <c r="C905">
        <v>1</v>
      </c>
      <c r="D905">
        <v>1</v>
      </c>
      <c r="E905">
        <v>70</v>
      </c>
    </row>
    <row r="906" spans="1:5" x14ac:dyDescent="0.2">
      <c r="A906" t="s">
        <v>921</v>
      </c>
      <c r="B906" t="s">
        <v>19</v>
      </c>
      <c r="C906">
        <v>0</v>
      </c>
      <c r="D906">
        <v>0</v>
      </c>
      <c r="E906">
        <v>20</v>
      </c>
    </row>
    <row r="907" spans="1:5" x14ac:dyDescent="0.2">
      <c r="A907" t="s">
        <v>922</v>
      </c>
      <c r="B907" t="s">
        <v>13</v>
      </c>
      <c r="C907">
        <v>1</v>
      </c>
      <c r="D907">
        <v>1</v>
      </c>
      <c r="E907">
        <v>10</v>
      </c>
    </row>
    <row r="908" spans="1:5" x14ac:dyDescent="0.2">
      <c r="A908" t="s">
        <v>923</v>
      </c>
      <c r="B908" t="s">
        <v>23</v>
      </c>
      <c r="C908">
        <v>0</v>
      </c>
      <c r="D908">
        <v>1</v>
      </c>
      <c r="E908">
        <v>40</v>
      </c>
    </row>
    <row r="909" spans="1:5" x14ac:dyDescent="0.2">
      <c r="A909" t="s">
        <v>924</v>
      </c>
      <c r="B909" t="s">
        <v>15</v>
      </c>
      <c r="C909">
        <v>0</v>
      </c>
      <c r="D909">
        <v>0</v>
      </c>
      <c r="E909">
        <v>4</v>
      </c>
    </row>
    <row r="910" spans="1:5" x14ac:dyDescent="0.2">
      <c r="A910" t="s">
        <v>925</v>
      </c>
      <c r="B910" t="s">
        <v>46</v>
      </c>
      <c r="C910">
        <v>1</v>
      </c>
      <c r="D910">
        <v>1</v>
      </c>
      <c r="E910">
        <v>40</v>
      </c>
    </row>
    <row r="911" spans="1:5" x14ac:dyDescent="0.2">
      <c r="A911" t="s">
        <v>926</v>
      </c>
      <c r="B911" t="s">
        <v>6</v>
      </c>
      <c r="C911">
        <v>0</v>
      </c>
      <c r="D911">
        <v>0</v>
      </c>
      <c r="E911">
        <v>70</v>
      </c>
    </row>
    <row r="912" spans="1:5" x14ac:dyDescent="0.2">
      <c r="A912" t="s">
        <v>927</v>
      </c>
      <c r="B912" t="s">
        <v>46</v>
      </c>
      <c r="C912">
        <v>0</v>
      </c>
      <c r="D912">
        <v>0</v>
      </c>
      <c r="E912">
        <v>4</v>
      </c>
    </row>
    <row r="913" spans="1:5" x14ac:dyDescent="0.2">
      <c r="A913" t="s">
        <v>928</v>
      </c>
      <c r="B913" t="s">
        <v>17</v>
      </c>
      <c r="C913">
        <v>1</v>
      </c>
      <c r="D913">
        <v>1</v>
      </c>
      <c r="E913">
        <v>4</v>
      </c>
    </row>
    <row r="914" spans="1:5" x14ac:dyDescent="0.2">
      <c r="A914" t="s">
        <v>929</v>
      </c>
      <c r="B914" t="s">
        <v>40</v>
      </c>
      <c r="C914">
        <v>0</v>
      </c>
      <c r="D914">
        <v>1</v>
      </c>
      <c r="E914">
        <v>10</v>
      </c>
    </row>
    <row r="915" spans="1:5" x14ac:dyDescent="0.2">
      <c r="A915" t="s">
        <v>930</v>
      </c>
      <c r="B915" t="s">
        <v>28</v>
      </c>
      <c r="C915">
        <v>1</v>
      </c>
      <c r="D915">
        <v>1</v>
      </c>
      <c r="E915">
        <v>40</v>
      </c>
    </row>
    <row r="916" spans="1:5" x14ac:dyDescent="0.2">
      <c r="A916" t="s">
        <v>931</v>
      </c>
      <c r="B916" t="s">
        <v>19</v>
      </c>
      <c r="C916">
        <v>0</v>
      </c>
      <c r="D916">
        <v>0</v>
      </c>
      <c r="E916">
        <v>20</v>
      </c>
    </row>
    <row r="917" spans="1:5" x14ac:dyDescent="0.2">
      <c r="A917" t="s">
        <v>932</v>
      </c>
      <c r="B917" t="s">
        <v>19</v>
      </c>
      <c r="C917">
        <v>1</v>
      </c>
      <c r="D917">
        <v>1</v>
      </c>
      <c r="E917">
        <v>70</v>
      </c>
    </row>
    <row r="918" spans="1:5" x14ac:dyDescent="0.2">
      <c r="A918" t="s">
        <v>933</v>
      </c>
      <c r="B918" t="s">
        <v>46</v>
      </c>
      <c r="C918">
        <v>0</v>
      </c>
      <c r="D918">
        <v>1</v>
      </c>
      <c r="E918">
        <v>70</v>
      </c>
    </row>
    <row r="919" spans="1:5" x14ac:dyDescent="0.2">
      <c r="A919" t="s">
        <v>934</v>
      </c>
      <c r="B919" t="s">
        <v>15</v>
      </c>
      <c r="C919">
        <v>1</v>
      </c>
      <c r="D919">
        <v>1</v>
      </c>
      <c r="E919">
        <v>70</v>
      </c>
    </row>
    <row r="920" spans="1:5" x14ac:dyDescent="0.2">
      <c r="A920" t="s">
        <v>935</v>
      </c>
      <c r="B920" t="s">
        <v>13</v>
      </c>
      <c r="C920">
        <v>1</v>
      </c>
      <c r="D920">
        <v>1</v>
      </c>
      <c r="E920">
        <v>70</v>
      </c>
    </row>
    <row r="921" spans="1:5" x14ac:dyDescent="0.2">
      <c r="A921" t="s">
        <v>936</v>
      </c>
      <c r="B921" t="s">
        <v>6</v>
      </c>
      <c r="C921">
        <v>1</v>
      </c>
      <c r="D921">
        <v>1</v>
      </c>
      <c r="E921">
        <v>4</v>
      </c>
    </row>
    <row r="922" spans="1:5" x14ac:dyDescent="0.2">
      <c r="A922" t="s">
        <v>937</v>
      </c>
      <c r="B922" t="s">
        <v>28</v>
      </c>
      <c r="C922">
        <v>1</v>
      </c>
      <c r="D922">
        <v>1</v>
      </c>
      <c r="E922">
        <v>20</v>
      </c>
    </row>
    <row r="923" spans="1:5" x14ac:dyDescent="0.2">
      <c r="A923" t="s">
        <v>938</v>
      </c>
      <c r="B923" t="s">
        <v>19</v>
      </c>
      <c r="C923">
        <v>0</v>
      </c>
      <c r="D923">
        <v>1</v>
      </c>
      <c r="E923">
        <v>40</v>
      </c>
    </row>
    <row r="924" spans="1:5" x14ac:dyDescent="0.2">
      <c r="A924" t="s">
        <v>939</v>
      </c>
      <c r="B924" t="s">
        <v>53</v>
      </c>
      <c r="C924">
        <v>1</v>
      </c>
      <c r="D924">
        <v>1</v>
      </c>
      <c r="E924">
        <v>70</v>
      </c>
    </row>
    <row r="925" spans="1:5" x14ac:dyDescent="0.2">
      <c r="A925" t="s">
        <v>940</v>
      </c>
      <c r="B925" t="s">
        <v>53</v>
      </c>
      <c r="C925">
        <v>0</v>
      </c>
      <c r="D925">
        <v>1</v>
      </c>
      <c r="E925">
        <v>4</v>
      </c>
    </row>
    <row r="926" spans="1:5" x14ac:dyDescent="0.2">
      <c r="A926" t="s">
        <v>941</v>
      </c>
      <c r="B926" t="s">
        <v>53</v>
      </c>
      <c r="C926">
        <v>1</v>
      </c>
      <c r="D926">
        <v>0</v>
      </c>
      <c r="E926">
        <v>70</v>
      </c>
    </row>
    <row r="927" spans="1:5" x14ac:dyDescent="0.2">
      <c r="A927" t="s">
        <v>942</v>
      </c>
      <c r="B927" t="s">
        <v>61</v>
      </c>
      <c r="C927">
        <v>0</v>
      </c>
      <c r="D927">
        <v>1</v>
      </c>
      <c r="E927">
        <v>70</v>
      </c>
    </row>
    <row r="928" spans="1:5" x14ac:dyDescent="0.2">
      <c r="A928" t="s">
        <v>943</v>
      </c>
      <c r="B928" t="s">
        <v>53</v>
      </c>
      <c r="C928">
        <v>1</v>
      </c>
      <c r="D928">
        <v>1</v>
      </c>
      <c r="E928">
        <v>40</v>
      </c>
    </row>
    <row r="929" spans="1:5" x14ac:dyDescent="0.2">
      <c r="A929" t="s">
        <v>944</v>
      </c>
      <c r="B929" t="s">
        <v>17</v>
      </c>
      <c r="C929">
        <v>0</v>
      </c>
      <c r="D929">
        <v>1</v>
      </c>
      <c r="E929">
        <v>40</v>
      </c>
    </row>
    <row r="930" spans="1:5" x14ac:dyDescent="0.2">
      <c r="A930" t="s">
        <v>945</v>
      </c>
      <c r="B930" t="s">
        <v>19</v>
      </c>
      <c r="C930">
        <v>0</v>
      </c>
      <c r="D930">
        <v>1</v>
      </c>
      <c r="E930">
        <v>40</v>
      </c>
    </row>
    <row r="931" spans="1:5" x14ac:dyDescent="0.2">
      <c r="A931" t="s">
        <v>946</v>
      </c>
      <c r="B931" t="s">
        <v>8</v>
      </c>
      <c r="C931">
        <v>0</v>
      </c>
      <c r="D931">
        <v>0</v>
      </c>
      <c r="E931">
        <v>70</v>
      </c>
    </row>
    <row r="932" spans="1:5" x14ac:dyDescent="0.2">
      <c r="A932" t="s">
        <v>947</v>
      </c>
      <c r="B932" t="s">
        <v>17</v>
      </c>
      <c r="C932">
        <v>1</v>
      </c>
      <c r="D932">
        <v>1</v>
      </c>
      <c r="E932">
        <v>10</v>
      </c>
    </row>
    <row r="933" spans="1:5" x14ac:dyDescent="0.2">
      <c r="A933" t="s">
        <v>948</v>
      </c>
      <c r="B933" t="s">
        <v>13</v>
      </c>
      <c r="C933">
        <v>1</v>
      </c>
      <c r="D933">
        <v>1</v>
      </c>
      <c r="E933">
        <v>10</v>
      </c>
    </row>
    <row r="934" spans="1:5" x14ac:dyDescent="0.2">
      <c r="A934" t="s">
        <v>182</v>
      </c>
      <c r="B934" t="s">
        <v>53</v>
      </c>
      <c r="C934">
        <v>1</v>
      </c>
      <c r="D934">
        <v>1</v>
      </c>
      <c r="E934">
        <v>70</v>
      </c>
    </row>
    <row r="935" spans="1:5" x14ac:dyDescent="0.2">
      <c r="A935" t="s">
        <v>949</v>
      </c>
      <c r="B935" t="s">
        <v>15</v>
      </c>
      <c r="C935">
        <v>1</v>
      </c>
      <c r="D935">
        <v>1</v>
      </c>
      <c r="E935">
        <v>70</v>
      </c>
    </row>
    <row r="936" spans="1:5" x14ac:dyDescent="0.2">
      <c r="A936" t="s">
        <v>950</v>
      </c>
      <c r="B936" t="s">
        <v>19</v>
      </c>
      <c r="C936">
        <v>1</v>
      </c>
      <c r="D936">
        <v>1</v>
      </c>
      <c r="E936">
        <v>40</v>
      </c>
    </row>
    <row r="937" spans="1:5" x14ac:dyDescent="0.2">
      <c r="A937" t="s">
        <v>951</v>
      </c>
      <c r="B937" t="s">
        <v>19</v>
      </c>
      <c r="C937">
        <v>1</v>
      </c>
      <c r="D937">
        <v>1</v>
      </c>
      <c r="E937">
        <v>4</v>
      </c>
    </row>
    <row r="938" spans="1:5" x14ac:dyDescent="0.2">
      <c r="A938" t="s">
        <v>952</v>
      </c>
      <c r="B938" t="s">
        <v>40</v>
      </c>
      <c r="C938">
        <v>0</v>
      </c>
      <c r="D938">
        <v>1</v>
      </c>
      <c r="E938">
        <v>70</v>
      </c>
    </row>
    <row r="939" spans="1:5" x14ac:dyDescent="0.2">
      <c r="A939" t="s">
        <v>953</v>
      </c>
      <c r="B939" t="s">
        <v>6</v>
      </c>
      <c r="C939">
        <v>0</v>
      </c>
      <c r="D939">
        <v>0</v>
      </c>
      <c r="E939">
        <v>4</v>
      </c>
    </row>
    <row r="940" spans="1:5" x14ac:dyDescent="0.2">
      <c r="A940" t="s">
        <v>954</v>
      </c>
      <c r="B940" t="s">
        <v>23</v>
      </c>
      <c r="C940">
        <v>0</v>
      </c>
      <c r="D940">
        <v>1</v>
      </c>
      <c r="E940">
        <v>10</v>
      </c>
    </row>
    <row r="941" spans="1:5" x14ac:dyDescent="0.2">
      <c r="A941" t="s">
        <v>955</v>
      </c>
      <c r="B941" t="s">
        <v>46</v>
      </c>
      <c r="C941">
        <v>1</v>
      </c>
      <c r="D941">
        <v>1</v>
      </c>
      <c r="E941">
        <v>20</v>
      </c>
    </row>
    <row r="942" spans="1:5" x14ac:dyDescent="0.2">
      <c r="A942" t="s">
        <v>956</v>
      </c>
      <c r="B942" t="s">
        <v>37</v>
      </c>
      <c r="C942">
        <v>0</v>
      </c>
      <c r="D942">
        <v>1</v>
      </c>
      <c r="E942">
        <v>4</v>
      </c>
    </row>
    <row r="943" spans="1:5" x14ac:dyDescent="0.2">
      <c r="A943" t="s">
        <v>957</v>
      </c>
      <c r="B943" t="s">
        <v>11</v>
      </c>
      <c r="C943">
        <v>0</v>
      </c>
      <c r="D943">
        <v>1</v>
      </c>
      <c r="E943">
        <v>10</v>
      </c>
    </row>
    <row r="944" spans="1:5" x14ac:dyDescent="0.2">
      <c r="A944" t="s">
        <v>958</v>
      </c>
      <c r="B944" t="s">
        <v>15</v>
      </c>
      <c r="C944">
        <v>1</v>
      </c>
      <c r="D944">
        <v>1</v>
      </c>
      <c r="E944">
        <v>40</v>
      </c>
    </row>
    <row r="945" spans="1:5" x14ac:dyDescent="0.2">
      <c r="A945" t="s">
        <v>959</v>
      </c>
      <c r="B945" t="s">
        <v>61</v>
      </c>
      <c r="C945">
        <v>0</v>
      </c>
      <c r="D945">
        <v>1</v>
      </c>
      <c r="E945">
        <v>10</v>
      </c>
    </row>
    <row r="946" spans="1:5" x14ac:dyDescent="0.2">
      <c r="A946" t="s">
        <v>960</v>
      </c>
      <c r="B946" t="s">
        <v>23</v>
      </c>
      <c r="C946">
        <v>1</v>
      </c>
      <c r="D946">
        <v>1</v>
      </c>
      <c r="E946">
        <v>20</v>
      </c>
    </row>
    <row r="947" spans="1:5" x14ac:dyDescent="0.2">
      <c r="A947" t="s">
        <v>961</v>
      </c>
      <c r="B947" t="s">
        <v>46</v>
      </c>
      <c r="C947">
        <v>0</v>
      </c>
      <c r="D947">
        <v>1</v>
      </c>
      <c r="E947">
        <v>20</v>
      </c>
    </row>
    <row r="948" spans="1:5" x14ac:dyDescent="0.2">
      <c r="A948" t="s">
        <v>962</v>
      </c>
      <c r="B948" t="s">
        <v>53</v>
      </c>
      <c r="C948">
        <v>0</v>
      </c>
      <c r="D948">
        <v>1</v>
      </c>
      <c r="E948">
        <v>10</v>
      </c>
    </row>
    <row r="949" spans="1:5" x14ac:dyDescent="0.2">
      <c r="A949" t="s">
        <v>963</v>
      </c>
      <c r="B949" t="s">
        <v>17</v>
      </c>
      <c r="C949">
        <v>0</v>
      </c>
      <c r="D949">
        <v>1</v>
      </c>
      <c r="E949">
        <v>40</v>
      </c>
    </row>
    <row r="950" spans="1:5" x14ac:dyDescent="0.2">
      <c r="A950" t="s">
        <v>964</v>
      </c>
      <c r="B950" t="s">
        <v>26</v>
      </c>
      <c r="C950">
        <v>0</v>
      </c>
      <c r="D950">
        <v>1</v>
      </c>
      <c r="E950">
        <v>10</v>
      </c>
    </row>
    <row r="951" spans="1:5" x14ac:dyDescent="0.2">
      <c r="A951" t="s">
        <v>965</v>
      </c>
      <c r="B951" t="s">
        <v>17</v>
      </c>
      <c r="C951">
        <v>0</v>
      </c>
      <c r="D951">
        <v>0</v>
      </c>
      <c r="E951">
        <v>40</v>
      </c>
    </row>
    <row r="952" spans="1:5" x14ac:dyDescent="0.2">
      <c r="A952" t="s">
        <v>966</v>
      </c>
      <c r="B952" t="s">
        <v>26</v>
      </c>
      <c r="C952">
        <v>1</v>
      </c>
      <c r="D952">
        <v>1</v>
      </c>
      <c r="E952">
        <v>70</v>
      </c>
    </row>
    <row r="953" spans="1:5" x14ac:dyDescent="0.2">
      <c r="A953" t="s">
        <v>967</v>
      </c>
      <c r="B953" t="s">
        <v>19</v>
      </c>
      <c r="C953">
        <v>1</v>
      </c>
      <c r="D953">
        <v>1</v>
      </c>
      <c r="E953">
        <v>40</v>
      </c>
    </row>
    <row r="954" spans="1:5" x14ac:dyDescent="0.2">
      <c r="A954" t="s">
        <v>968</v>
      </c>
      <c r="B954" t="s">
        <v>8</v>
      </c>
      <c r="C954">
        <v>1</v>
      </c>
      <c r="D954">
        <v>1</v>
      </c>
      <c r="E954">
        <v>20</v>
      </c>
    </row>
    <row r="955" spans="1:5" x14ac:dyDescent="0.2">
      <c r="A955" t="s">
        <v>969</v>
      </c>
      <c r="B955" t="s">
        <v>26</v>
      </c>
      <c r="C955">
        <v>1</v>
      </c>
      <c r="D955">
        <v>1</v>
      </c>
      <c r="E955">
        <v>10</v>
      </c>
    </row>
    <row r="956" spans="1:5" x14ac:dyDescent="0.2">
      <c r="A956" t="s">
        <v>970</v>
      </c>
      <c r="B956" t="s">
        <v>23</v>
      </c>
      <c r="C956">
        <v>1</v>
      </c>
      <c r="D956">
        <v>0</v>
      </c>
      <c r="E956">
        <v>40</v>
      </c>
    </row>
    <row r="957" spans="1:5" x14ac:dyDescent="0.2">
      <c r="A957" t="s">
        <v>971</v>
      </c>
      <c r="B957" t="s">
        <v>40</v>
      </c>
      <c r="C957">
        <v>1</v>
      </c>
      <c r="D957">
        <v>1</v>
      </c>
      <c r="E957">
        <v>70</v>
      </c>
    </row>
    <row r="958" spans="1:5" x14ac:dyDescent="0.2">
      <c r="A958" t="s">
        <v>972</v>
      </c>
      <c r="B958" t="s">
        <v>11</v>
      </c>
      <c r="C958">
        <v>0</v>
      </c>
      <c r="D958">
        <v>1</v>
      </c>
      <c r="E958">
        <v>40</v>
      </c>
    </row>
    <row r="959" spans="1:5" x14ac:dyDescent="0.2">
      <c r="A959" t="s">
        <v>973</v>
      </c>
      <c r="B959" t="s">
        <v>46</v>
      </c>
      <c r="C959">
        <v>1</v>
      </c>
      <c r="D959">
        <v>1</v>
      </c>
      <c r="E959">
        <v>70</v>
      </c>
    </row>
    <row r="960" spans="1:5" x14ac:dyDescent="0.2">
      <c r="A960" t="s">
        <v>974</v>
      </c>
      <c r="B960" t="s">
        <v>23</v>
      </c>
      <c r="C960">
        <v>1</v>
      </c>
      <c r="D960">
        <v>0</v>
      </c>
      <c r="E960">
        <v>20</v>
      </c>
    </row>
    <row r="961" spans="1:5" x14ac:dyDescent="0.2">
      <c r="A961" t="s">
        <v>975</v>
      </c>
      <c r="B961" t="s">
        <v>19</v>
      </c>
      <c r="C961">
        <v>0</v>
      </c>
      <c r="D961">
        <v>0</v>
      </c>
      <c r="E961">
        <v>10</v>
      </c>
    </row>
    <row r="962" spans="1:5" x14ac:dyDescent="0.2">
      <c r="A962" t="s">
        <v>976</v>
      </c>
      <c r="B962" t="s">
        <v>26</v>
      </c>
      <c r="C962">
        <v>0</v>
      </c>
      <c r="D962">
        <v>0</v>
      </c>
      <c r="E962">
        <v>4</v>
      </c>
    </row>
    <row r="963" spans="1:5" x14ac:dyDescent="0.2">
      <c r="A963" t="s">
        <v>977</v>
      </c>
      <c r="B963" t="s">
        <v>8</v>
      </c>
      <c r="C963">
        <v>1</v>
      </c>
      <c r="D963">
        <v>0</v>
      </c>
      <c r="E963">
        <v>40</v>
      </c>
    </row>
    <row r="964" spans="1:5" x14ac:dyDescent="0.2">
      <c r="A964" t="s">
        <v>978</v>
      </c>
      <c r="B964" t="s">
        <v>23</v>
      </c>
      <c r="C964">
        <v>0</v>
      </c>
      <c r="D964">
        <v>1</v>
      </c>
      <c r="E964">
        <v>70</v>
      </c>
    </row>
    <row r="965" spans="1:5" x14ac:dyDescent="0.2">
      <c r="A965" t="s">
        <v>979</v>
      </c>
      <c r="B965" t="s">
        <v>37</v>
      </c>
      <c r="C965">
        <v>1</v>
      </c>
      <c r="D965">
        <v>1</v>
      </c>
      <c r="E965">
        <v>70</v>
      </c>
    </row>
    <row r="966" spans="1:5" x14ac:dyDescent="0.2">
      <c r="A966" t="s">
        <v>980</v>
      </c>
      <c r="B966" t="s">
        <v>6</v>
      </c>
      <c r="C966">
        <v>1</v>
      </c>
      <c r="D966">
        <v>0</v>
      </c>
      <c r="E966">
        <v>40</v>
      </c>
    </row>
    <row r="967" spans="1:5" x14ac:dyDescent="0.2">
      <c r="A967" t="s">
        <v>981</v>
      </c>
      <c r="B967" t="s">
        <v>6</v>
      </c>
      <c r="C967">
        <v>1</v>
      </c>
      <c r="D967">
        <v>1</v>
      </c>
      <c r="E967">
        <v>70</v>
      </c>
    </row>
    <row r="968" spans="1:5" x14ac:dyDescent="0.2">
      <c r="A968" t="s">
        <v>982</v>
      </c>
      <c r="B968" t="s">
        <v>40</v>
      </c>
      <c r="C968">
        <v>1</v>
      </c>
      <c r="D968">
        <v>1</v>
      </c>
      <c r="E968">
        <v>4</v>
      </c>
    </row>
    <row r="969" spans="1:5" x14ac:dyDescent="0.2">
      <c r="A969" t="s">
        <v>983</v>
      </c>
      <c r="B969" t="s">
        <v>6</v>
      </c>
      <c r="C969">
        <v>1</v>
      </c>
      <c r="D969">
        <v>1</v>
      </c>
      <c r="E969">
        <v>70</v>
      </c>
    </row>
    <row r="970" spans="1:5" x14ac:dyDescent="0.2">
      <c r="A970" t="s">
        <v>984</v>
      </c>
      <c r="B970" t="s">
        <v>11</v>
      </c>
      <c r="C970">
        <v>0</v>
      </c>
      <c r="D970">
        <v>1</v>
      </c>
      <c r="E970">
        <v>4</v>
      </c>
    </row>
    <row r="971" spans="1:5" x14ac:dyDescent="0.2">
      <c r="A971" t="s">
        <v>985</v>
      </c>
      <c r="B971" t="s">
        <v>46</v>
      </c>
      <c r="C971">
        <v>1</v>
      </c>
      <c r="D971">
        <v>1</v>
      </c>
      <c r="E971">
        <v>20</v>
      </c>
    </row>
    <row r="972" spans="1:5" x14ac:dyDescent="0.2">
      <c r="A972" t="s">
        <v>986</v>
      </c>
      <c r="B972" t="s">
        <v>17</v>
      </c>
      <c r="C972">
        <v>0</v>
      </c>
      <c r="D972">
        <v>1</v>
      </c>
      <c r="E972">
        <v>10</v>
      </c>
    </row>
    <row r="973" spans="1:5" x14ac:dyDescent="0.2">
      <c r="A973" t="s">
        <v>987</v>
      </c>
      <c r="B973" t="s">
        <v>53</v>
      </c>
      <c r="C973">
        <v>0</v>
      </c>
      <c r="D973">
        <v>0</v>
      </c>
      <c r="E973">
        <v>20</v>
      </c>
    </row>
    <row r="974" spans="1:5" x14ac:dyDescent="0.2">
      <c r="A974" t="s">
        <v>988</v>
      </c>
      <c r="B974" t="s">
        <v>17</v>
      </c>
      <c r="C974">
        <v>0</v>
      </c>
      <c r="D974">
        <v>1</v>
      </c>
      <c r="E974">
        <v>10</v>
      </c>
    </row>
    <row r="975" spans="1:5" x14ac:dyDescent="0.2">
      <c r="A975" t="s">
        <v>989</v>
      </c>
      <c r="B975" t="s">
        <v>15</v>
      </c>
      <c r="C975">
        <v>0</v>
      </c>
      <c r="D975">
        <v>1</v>
      </c>
      <c r="E975">
        <v>20</v>
      </c>
    </row>
    <row r="976" spans="1:5" x14ac:dyDescent="0.2">
      <c r="A976" t="s">
        <v>990</v>
      </c>
      <c r="B976" t="s">
        <v>46</v>
      </c>
      <c r="C976">
        <v>0</v>
      </c>
      <c r="D976">
        <v>0</v>
      </c>
      <c r="E976">
        <v>10</v>
      </c>
    </row>
    <row r="977" spans="1:5" x14ac:dyDescent="0.2">
      <c r="A977" t="s">
        <v>991</v>
      </c>
      <c r="B977" t="s">
        <v>26</v>
      </c>
      <c r="C977">
        <v>1</v>
      </c>
      <c r="D977">
        <v>1</v>
      </c>
      <c r="E977">
        <v>70</v>
      </c>
    </row>
    <row r="978" spans="1:5" x14ac:dyDescent="0.2">
      <c r="A978" t="s">
        <v>992</v>
      </c>
      <c r="B978" t="s">
        <v>17</v>
      </c>
      <c r="C978">
        <v>1</v>
      </c>
      <c r="D978">
        <v>1</v>
      </c>
      <c r="E978">
        <v>10</v>
      </c>
    </row>
    <row r="979" spans="1:5" x14ac:dyDescent="0.2">
      <c r="A979" t="s">
        <v>993</v>
      </c>
      <c r="B979" t="s">
        <v>8</v>
      </c>
      <c r="C979">
        <v>1</v>
      </c>
      <c r="D979">
        <v>0</v>
      </c>
      <c r="E979">
        <v>70</v>
      </c>
    </row>
    <row r="980" spans="1:5" x14ac:dyDescent="0.2">
      <c r="A980" t="s">
        <v>994</v>
      </c>
      <c r="B980" t="s">
        <v>28</v>
      </c>
      <c r="C980">
        <v>0</v>
      </c>
      <c r="D980">
        <v>0</v>
      </c>
      <c r="E980">
        <v>10</v>
      </c>
    </row>
    <row r="981" spans="1:5" x14ac:dyDescent="0.2">
      <c r="A981" t="s">
        <v>995</v>
      </c>
      <c r="B981" t="s">
        <v>19</v>
      </c>
      <c r="C981">
        <v>1</v>
      </c>
      <c r="D981">
        <v>1</v>
      </c>
      <c r="E981">
        <v>20</v>
      </c>
    </row>
    <row r="982" spans="1:5" x14ac:dyDescent="0.2">
      <c r="A982" t="s">
        <v>996</v>
      </c>
      <c r="B982" t="s">
        <v>19</v>
      </c>
      <c r="C982">
        <v>1</v>
      </c>
      <c r="D982">
        <v>0</v>
      </c>
      <c r="E982">
        <v>40</v>
      </c>
    </row>
    <row r="983" spans="1:5" x14ac:dyDescent="0.2">
      <c r="A983" t="s">
        <v>997</v>
      </c>
      <c r="B983" t="s">
        <v>28</v>
      </c>
      <c r="C983">
        <v>1</v>
      </c>
      <c r="D983">
        <v>1</v>
      </c>
      <c r="E983">
        <v>4</v>
      </c>
    </row>
    <row r="984" spans="1:5" x14ac:dyDescent="0.2">
      <c r="A984" t="s">
        <v>998</v>
      </c>
      <c r="B984" t="s">
        <v>6</v>
      </c>
      <c r="C984">
        <v>1</v>
      </c>
      <c r="D984">
        <v>1</v>
      </c>
      <c r="E984">
        <v>20</v>
      </c>
    </row>
    <row r="985" spans="1:5" x14ac:dyDescent="0.2">
      <c r="A985" t="s">
        <v>999</v>
      </c>
      <c r="B985" t="s">
        <v>11</v>
      </c>
      <c r="C985">
        <v>0</v>
      </c>
      <c r="D985">
        <v>1</v>
      </c>
      <c r="E985">
        <v>40</v>
      </c>
    </row>
    <row r="986" spans="1:5" x14ac:dyDescent="0.2">
      <c r="A986" t="s">
        <v>1000</v>
      </c>
      <c r="B986" t="s">
        <v>23</v>
      </c>
      <c r="C986">
        <v>0</v>
      </c>
      <c r="D986">
        <v>0</v>
      </c>
      <c r="E986">
        <v>20</v>
      </c>
    </row>
    <row r="987" spans="1:5" x14ac:dyDescent="0.2">
      <c r="A987" t="s">
        <v>1001</v>
      </c>
      <c r="B987" t="s">
        <v>26</v>
      </c>
      <c r="C987">
        <v>1</v>
      </c>
      <c r="D987">
        <v>1</v>
      </c>
      <c r="E987">
        <v>4</v>
      </c>
    </row>
    <row r="988" spans="1:5" x14ac:dyDescent="0.2">
      <c r="A988" t="s">
        <v>1002</v>
      </c>
      <c r="B988" t="s">
        <v>19</v>
      </c>
      <c r="C988">
        <v>0</v>
      </c>
      <c r="D988">
        <v>0</v>
      </c>
      <c r="E988">
        <v>10</v>
      </c>
    </row>
    <row r="989" spans="1:5" x14ac:dyDescent="0.2">
      <c r="A989" t="s">
        <v>1003</v>
      </c>
      <c r="B989" t="s">
        <v>26</v>
      </c>
      <c r="C989">
        <v>0</v>
      </c>
      <c r="D989">
        <v>0</v>
      </c>
      <c r="E989">
        <v>40</v>
      </c>
    </row>
    <row r="990" spans="1:5" x14ac:dyDescent="0.2">
      <c r="A990" t="s">
        <v>1004</v>
      </c>
      <c r="B990" t="s">
        <v>53</v>
      </c>
      <c r="C990">
        <v>0</v>
      </c>
      <c r="D990">
        <v>1</v>
      </c>
      <c r="E990">
        <v>40</v>
      </c>
    </row>
    <row r="991" spans="1:5" x14ac:dyDescent="0.2">
      <c r="A991" t="s">
        <v>1005</v>
      </c>
      <c r="B991" t="s">
        <v>8</v>
      </c>
      <c r="C991">
        <v>0</v>
      </c>
      <c r="D991">
        <v>1</v>
      </c>
      <c r="E991">
        <v>4</v>
      </c>
    </row>
    <row r="992" spans="1:5" x14ac:dyDescent="0.2">
      <c r="A992" t="s">
        <v>1006</v>
      </c>
      <c r="B992" t="s">
        <v>28</v>
      </c>
      <c r="C992">
        <v>0</v>
      </c>
      <c r="D992">
        <v>1</v>
      </c>
      <c r="E992">
        <v>20</v>
      </c>
    </row>
    <row r="993" spans="1:5" x14ac:dyDescent="0.2">
      <c r="A993" t="s">
        <v>1007</v>
      </c>
      <c r="B993" t="s">
        <v>61</v>
      </c>
      <c r="C993">
        <v>0</v>
      </c>
      <c r="D993">
        <v>0</v>
      </c>
      <c r="E993">
        <v>40</v>
      </c>
    </row>
    <row r="994" spans="1:5" x14ac:dyDescent="0.2">
      <c r="A994" t="s">
        <v>1008</v>
      </c>
      <c r="B994" t="s">
        <v>46</v>
      </c>
      <c r="C994">
        <v>1</v>
      </c>
      <c r="D994">
        <v>0</v>
      </c>
      <c r="E994">
        <v>10</v>
      </c>
    </row>
    <row r="995" spans="1:5" x14ac:dyDescent="0.2">
      <c r="A995" t="s">
        <v>1009</v>
      </c>
      <c r="B995" t="s">
        <v>26</v>
      </c>
      <c r="C995">
        <v>0</v>
      </c>
      <c r="D995">
        <v>1</v>
      </c>
      <c r="E995">
        <v>10</v>
      </c>
    </row>
    <row r="996" spans="1:5" x14ac:dyDescent="0.2">
      <c r="A996" t="s">
        <v>1010</v>
      </c>
      <c r="B996" t="s">
        <v>46</v>
      </c>
      <c r="C996">
        <v>0</v>
      </c>
      <c r="D996">
        <v>1</v>
      </c>
      <c r="E996">
        <v>70</v>
      </c>
    </row>
    <row r="997" spans="1:5" x14ac:dyDescent="0.2">
      <c r="A997" t="s">
        <v>1011</v>
      </c>
      <c r="B997" t="s">
        <v>11</v>
      </c>
      <c r="C997">
        <v>0</v>
      </c>
      <c r="D997">
        <v>0</v>
      </c>
      <c r="E997">
        <v>40</v>
      </c>
    </row>
    <row r="998" spans="1:5" x14ac:dyDescent="0.2">
      <c r="A998" t="s">
        <v>1012</v>
      </c>
      <c r="B998" t="s">
        <v>17</v>
      </c>
      <c r="C998">
        <v>1</v>
      </c>
      <c r="D998">
        <v>1</v>
      </c>
      <c r="E998">
        <v>20</v>
      </c>
    </row>
    <row r="999" spans="1:5" x14ac:dyDescent="0.2">
      <c r="A999" t="s">
        <v>1013</v>
      </c>
      <c r="B999" t="s">
        <v>23</v>
      </c>
      <c r="C999">
        <v>0</v>
      </c>
      <c r="D999">
        <v>1</v>
      </c>
      <c r="E999">
        <v>70</v>
      </c>
    </row>
    <row r="1000" spans="1:5" x14ac:dyDescent="0.2">
      <c r="A1000" t="s">
        <v>1014</v>
      </c>
      <c r="B1000" t="s">
        <v>28</v>
      </c>
      <c r="C1000">
        <v>1</v>
      </c>
      <c r="D1000">
        <v>1</v>
      </c>
      <c r="E1000">
        <v>70</v>
      </c>
    </row>
    <row r="1001" spans="1:5" x14ac:dyDescent="0.2">
      <c r="A1001" t="s">
        <v>1015</v>
      </c>
      <c r="B1001" t="s">
        <v>15</v>
      </c>
      <c r="C1001">
        <v>0</v>
      </c>
      <c r="D1001">
        <v>0</v>
      </c>
      <c r="E1001">
        <v>10</v>
      </c>
    </row>
    <row r="1002" spans="1:5" x14ac:dyDescent="0.2">
      <c r="A1002" t="s">
        <v>1016</v>
      </c>
      <c r="B1002" t="s">
        <v>61</v>
      </c>
      <c r="C1002">
        <v>0</v>
      </c>
      <c r="D1002">
        <v>1</v>
      </c>
      <c r="E1002">
        <v>20</v>
      </c>
    </row>
    <row r="1003" spans="1:5" x14ac:dyDescent="0.2">
      <c r="A1003" t="s">
        <v>1017</v>
      </c>
      <c r="B1003" t="s">
        <v>6</v>
      </c>
      <c r="C1003">
        <v>1</v>
      </c>
      <c r="D1003">
        <v>1</v>
      </c>
      <c r="E1003">
        <v>70</v>
      </c>
    </row>
    <row r="1004" spans="1:5" x14ac:dyDescent="0.2">
      <c r="A1004" t="s">
        <v>1018</v>
      </c>
      <c r="B1004" t="s">
        <v>28</v>
      </c>
      <c r="C1004">
        <v>0</v>
      </c>
      <c r="D1004">
        <v>0</v>
      </c>
      <c r="E1004">
        <v>20</v>
      </c>
    </row>
    <row r="1005" spans="1:5" x14ac:dyDescent="0.2">
      <c r="A1005" t="s">
        <v>1019</v>
      </c>
      <c r="B1005" t="s">
        <v>17</v>
      </c>
      <c r="C1005">
        <v>1</v>
      </c>
      <c r="D1005">
        <v>1</v>
      </c>
      <c r="E1005">
        <v>70</v>
      </c>
    </row>
    <row r="1006" spans="1:5" x14ac:dyDescent="0.2">
      <c r="A1006" t="s">
        <v>1020</v>
      </c>
      <c r="B1006" t="s">
        <v>8</v>
      </c>
      <c r="C1006">
        <v>1</v>
      </c>
      <c r="D1006">
        <v>1</v>
      </c>
      <c r="E1006">
        <v>10</v>
      </c>
    </row>
    <row r="1007" spans="1:5" x14ac:dyDescent="0.2">
      <c r="A1007" t="s">
        <v>1021</v>
      </c>
      <c r="B1007" t="s">
        <v>11</v>
      </c>
      <c r="C1007">
        <v>1</v>
      </c>
      <c r="D1007">
        <v>1</v>
      </c>
      <c r="E1007">
        <v>4</v>
      </c>
    </row>
    <row r="1008" spans="1:5" x14ac:dyDescent="0.2">
      <c r="A1008" t="s">
        <v>1022</v>
      </c>
      <c r="B1008" t="s">
        <v>53</v>
      </c>
      <c r="C1008">
        <v>0</v>
      </c>
      <c r="D1008">
        <v>0</v>
      </c>
      <c r="E1008">
        <v>40</v>
      </c>
    </row>
    <row r="1009" spans="1:5" x14ac:dyDescent="0.2">
      <c r="A1009" t="s">
        <v>1023</v>
      </c>
      <c r="B1009" t="s">
        <v>8</v>
      </c>
      <c r="C1009">
        <v>0</v>
      </c>
      <c r="D1009">
        <v>0</v>
      </c>
      <c r="E1009">
        <v>20</v>
      </c>
    </row>
    <row r="1010" spans="1:5" x14ac:dyDescent="0.2">
      <c r="A1010" t="s">
        <v>1024</v>
      </c>
      <c r="B1010" t="s">
        <v>28</v>
      </c>
      <c r="C1010">
        <v>1</v>
      </c>
      <c r="D1010">
        <v>1</v>
      </c>
      <c r="E1010">
        <v>70</v>
      </c>
    </row>
    <row r="1011" spans="1:5" x14ac:dyDescent="0.2">
      <c r="A1011" t="s">
        <v>1025</v>
      </c>
      <c r="B1011" t="s">
        <v>23</v>
      </c>
      <c r="C1011">
        <v>0</v>
      </c>
      <c r="D1011">
        <v>0</v>
      </c>
      <c r="E1011">
        <v>20</v>
      </c>
    </row>
    <row r="1012" spans="1:5" x14ac:dyDescent="0.2">
      <c r="A1012" t="s">
        <v>1026</v>
      </c>
      <c r="B1012" t="s">
        <v>23</v>
      </c>
      <c r="C1012">
        <v>0</v>
      </c>
      <c r="D1012">
        <v>0</v>
      </c>
      <c r="E1012">
        <v>10</v>
      </c>
    </row>
    <row r="1013" spans="1:5" x14ac:dyDescent="0.2">
      <c r="A1013" t="s">
        <v>1027</v>
      </c>
      <c r="B1013" t="s">
        <v>23</v>
      </c>
      <c r="C1013">
        <v>0</v>
      </c>
      <c r="D1013">
        <v>1</v>
      </c>
      <c r="E1013">
        <v>40</v>
      </c>
    </row>
    <row r="1014" spans="1:5" x14ac:dyDescent="0.2">
      <c r="A1014" t="s">
        <v>1028</v>
      </c>
      <c r="B1014" t="s">
        <v>17</v>
      </c>
      <c r="C1014">
        <v>0</v>
      </c>
      <c r="D1014">
        <v>1</v>
      </c>
      <c r="E1014">
        <v>40</v>
      </c>
    </row>
    <row r="1015" spans="1:5" x14ac:dyDescent="0.2">
      <c r="A1015" t="s">
        <v>1029</v>
      </c>
      <c r="B1015" t="s">
        <v>17</v>
      </c>
      <c r="C1015">
        <v>0</v>
      </c>
      <c r="D1015">
        <v>1</v>
      </c>
      <c r="E1015">
        <v>10</v>
      </c>
    </row>
    <row r="1016" spans="1:5" x14ac:dyDescent="0.2">
      <c r="A1016" t="s">
        <v>1030</v>
      </c>
      <c r="B1016" t="s">
        <v>26</v>
      </c>
      <c r="C1016">
        <v>1</v>
      </c>
      <c r="D1016">
        <v>1</v>
      </c>
      <c r="E1016">
        <v>20</v>
      </c>
    </row>
    <row r="1017" spans="1:5" x14ac:dyDescent="0.2">
      <c r="A1017" t="s">
        <v>1031</v>
      </c>
      <c r="B1017" t="s">
        <v>37</v>
      </c>
      <c r="C1017">
        <v>0</v>
      </c>
      <c r="D1017">
        <v>1</v>
      </c>
      <c r="E1017">
        <v>4</v>
      </c>
    </row>
    <row r="1018" spans="1:5" x14ac:dyDescent="0.2">
      <c r="A1018" t="s">
        <v>1032</v>
      </c>
      <c r="B1018" t="s">
        <v>13</v>
      </c>
      <c r="C1018">
        <v>1</v>
      </c>
      <c r="D1018">
        <v>1</v>
      </c>
      <c r="E1018">
        <v>70</v>
      </c>
    </row>
    <row r="1019" spans="1:5" x14ac:dyDescent="0.2">
      <c r="A1019" t="s">
        <v>1033</v>
      </c>
      <c r="B1019" t="s">
        <v>61</v>
      </c>
      <c r="C1019">
        <v>0</v>
      </c>
      <c r="D1019">
        <v>0</v>
      </c>
      <c r="E1019">
        <v>10</v>
      </c>
    </row>
    <row r="1020" spans="1:5" x14ac:dyDescent="0.2">
      <c r="A1020" t="s">
        <v>1034</v>
      </c>
      <c r="B1020" t="s">
        <v>26</v>
      </c>
      <c r="C1020">
        <v>0</v>
      </c>
      <c r="D1020">
        <v>1</v>
      </c>
      <c r="E1020">
        <v>4</v>
      </c>
    </row>
    <row r="1021" spans="1:5" x14ac:dyDescent="0.2">
      <c r="A1021" t="s">
        <v>1035</v>
      </c>
      <c r="B1021" t="s">
        <v>13</v>
      </c>
      <c r="C1021">
        <v>0</v>
      </c>
      <c r="D1021">
        <v>0</v>
      </c>
      <c r="E1021">
        <v>40</v>
      </c>
    </row>
    <row r="1022" spans="1:5" x14ac:dyDescent="0.2">
      <c r="A1022" t="s">
        <v>1036</v>
      </c>
      <c r="B1022" t="s">
        <v>37</v>
      </c>
      <c r="C1022">
        <v>1</v>
      </c>
      <c r="D1022">
        <v>0</v>
      </c>
      <c r="E1022">
        <v>70</v>
      </c>
    </row>
    <row r="1023" spans="1:5" x14ac:dyDescent="0.2">
      <c r="A1023" t="s">
        <v>1037</v>
      </c>
      <c r="B1023" t="s">
        <v>11</v>
      </c>
      <c r="C1023">
        <v>1</v>
      </c>
      <c r="D1023">
        <v>0</v>
      </c>
      <c r="E1023">
        <v>10</v>
      </c>
    </row>
    <row r="1024" spans="1:5" x14ac:dyDescent="0.2">
      <c r="A1024" t="s">
        <v>1038</v>
      </c>
      <c r="B1024" t="s">
        <v>13</v>
      </c>
      <c r="C1024">
        <v>0</v>
      </c>
      <c r="D1024">
        <v>1</v>
      </c>
      <c r="E1024">
        <v>4</v>
      </c>
    </row>
    <row r="1025" spans="1:5" x14ac:dyDescent="0.2">
      <c r="A1025" t="s">
        <v>1039</v>
      </c>
      <c r="B1025" t="s">
        <v>17</v>
      </c>
      <c r="C1025">
        <v>0</v>
      </c>
      <c r="D1025">
        <v>1</v>
      </c>
      <c r="E1025">
        <v>10</v>
      </c>
    </row>
    <row r="1026" spans="1:5" x14ac:dyDescent="0.2">
      <c r="A1026" t="s">
        <v>1040</v>
      </c>
      <c r="B1026" t="s">
        <v>46</v>
      </c>
      <c r="C1026">
        <v>1</v>
      </c>
      <c r="D1026">
        <v>1</v>
      </c>
      <c r="E1026">
        <v>70</v>
      </c>
    </row>
    <row r="1027" spans="1:5" x14ac:dyDescent="0.2">
      <c r="A1027" t="s">
        <v>1041</v>
      </c>
      <c r="B1027" t="s">
        <v>40</v>
      </c>
      <c r="C1027">
        <v>0</v>
      </c>
      <c r="D1027">
        <v>0</v>
      </c>
      <c r="E1027">
        <v>40</v>
      </c>
    </row>
    <row r="1028" spans="1:5" x14ac:dyDescent="0.2">
      <c r="A1028" t="s">
        <v>1042</v>
      </c>
      <c r="B1028" t="s">
        <v>13</v>
      </c>
      <c r="C1028">
        <v>0</v>
      </c>
      <c r="D1028">
        <v>0</v>
      </c>
      <c r="E1028">
        <v>10</v>
      </c>
    </row>
    <row r="1029" spans="1:5" x14ac:dyDescent="0.2">
      <c r="A1029" t="s">
        <v>1043</v>
      </c>
      <c r="B1029" t="s">
        <v>15</v>
      </c>
      <c r="C1029">
        <v>0</v>
      </c>
      <c r="D1029">
        <v>0</v>
      </c>
      <c r="E1029">
        <v>20</v>
      </c>
    </row>
    <row r="1030" spans="1:5" x14ac:dyDescent="0.2">
      <c r="A1030" t="s">
        <v>1044</v>
      </c>
      <c r="B1030" t="s">
        <v>11</v>
      </c>
      <c r="C1030">
        <v>0</v>
      </c>
      <c r="D1030">
        <v>0</v>
      </c>
      <c r="E1030">
        <v>20</v>
      </c>
    </row>
    <row r="1031" spans="1:5" x14ac:dyDescent="0.2">
      <c r="A1031" t="s">
        <v>1045</v>
      </c>
      <c r="B1031" t="s">
        <v>26</v>
      </c>
      <c r="C1031">
        <v>1</v>
      </c>
      <c r="D1031">
        <v>1</v>
      </c>
      <c r="E1031">
        <v>40</v>
      </c>
    </row>
    <row r="1032" spans="1:5" x14ac:dyDescent="0.2">
      <c r="A1032" t="s">
        <v>1046</v>
      </c>
      <c r="B1032" t="s">
        <v>6</v>
      </c>
      <c r="C1032">
        <v>0</v>
      </c>
      <c r="D1032">
        <v>1</v>
      </c>
      <c r="E1032">
        <v>40</v>
      </c>
    </row>
    <row r="1033" spans="1:5" x14ac:dyDescent="0.2">
      <c r="A1033" t="s">
        <v>1047</v>
      </c>
      <c r="B1033" t="s">
        <v>40</v>
      </c>
      <c r="C1033">
        <v>1</v>
      </c>
      <c r="D1033">
        <v>1</v>
      </c>
      <c r="E1033">
        <v>20</v>
      </c>
    </row>
    <row r="1034" spans="1:5" x14ac:dyDescent="0.2">
      <c r="A1034" t="s">
        <v>1048</v>
      </c>
      <c r="B1034" t="s">
        <v>19</v>
      </c>
      <c r="C1034">
        <v>1</v>
      </c>
      <c r="D1034">
        <v>1</v>
      </c>
      <c r="E1034">
        <v>70</v>
      </c>
    </row>
    <row r="1035" spans="1:5" x14ac:dyDescent="0.2">
      <c r="A1035" t="s">
        <v>1049</v>
      </c>
      <c r="B1035" t="s">
        <v>17</v>
      </c>
      <c r="C1035">
        <v>0</v>
      </c>
      <c r="D1035">
        <v>1</v>
      </c>
      <c r="E1035">
        <v>40</v>
      </c>
    </row>
    <row r="1036" spans="1:5" x14ac:dyDescent="0.2">
      <c r="A1036" t="s">
        <v>1050</v>
      </c>
      <c r="B1036" t="s">
        <v>6</v>
      </c>
      <c r="C1036">
        <v>0</v>
      </c>
      <c r="D1036">
        <v>1</v>
      </c>
      <c r="E1036">
        <v>70</v>
      </c>
    </row>
    <row r="1037" spans="1:5" x14ac:dyDescent="0.2">
      <c r="A1037" t="s">
        <v>1051</v>
      </c>
      <c r="B1037" t="s">
        <v>28</v>
      </c>
      <c r="C1037">
        <v>1</v>
      </c>
      <c r="D1037">
        <v>1</v>
      </c>
      <c r="E1037">
        <v>4</v>
      </c>
    </row>
    <row r="1038" spans="1:5" x14ac:dyDescent="0.2">
      <c r="A1038" t="s">
        <v>1052</v>
      </c>
      <c r="B1038" t="s">
        <v>26</v>
      </c>
      <c r="C1038">
        <v>1</v>
      </c>
      <c r="D1038">
        <v>1</v>
      </c>
      <c r="E1038">
        <v>10</v>
      </c>
    </row>
    <row r="1039" spans="1:5" x14ac:dyDescent="0.2">
      <c r="A1039" t="s">
        <v>1053</v>
      </c>
      <c r="B1039" t="s">
        <v>28</v>
      </c>
      <c r="C1039">
        <v>0</v>
      </c>
      <c r="D1039">
        <v>1</v>
      </c>
      <c r="E1039">
        <v>10</v>
      </c>
    </row>
    <row r="1040" spans="1:5" x14ac:dyDescent="0.2">
      <c r="A1040" t="s">
        <v>1054</v>
      </c>
      <c r="B1040" t="s">
        <v>13</v>
      </c>
      <c r="C1040">
        <v>0</v>
      </c>
      <c r="D1040">
        <v>0</v>
      </c>
      <c r="E1040">
        <v>20</v>
      </c>
    </row>
    <row r="1041" spans="1:5" x14ac:dyDescent="0.2">
      <c r="A1041" t="s">
        <v>1055</v>
      </c>
      <c r="B1041" t="s">
        <v>15</v>
      </c>
      <c r="C1041">
        <v>0</v>
      </c>
      <c r="D1041">
        <v>1</v>
      </c>
      <c r="E1041">
        <v>10</v>
      </c>
    </row>
    <row r="1042" spans="1:5" x14ac:dyDescent="0.2">
      <c r="A1042" t="s">
        <v>1056</v>
      </c>
      <c r="B1042" t="s">
        <v>23</v>
      </c>
      <c r="C1042">
        <v>0</v>
      </c>
      <c r="D1042">
        <v>1</v>
      </c>
      <c r="E1042">
        <v>70</v>
      </c>
    </row>
    <row r="1043" spans="1:5" x14ac:dyDescent="0.2">
      <c r="A1043" t="s">
        <v>1057</v>
      </c>
      <c r="B1043" t="s">
        <v>53</v>
      </c>
      <c r="C1043">
        <v>1</v>
      </c>
      <c r="D1043">
        <v>1</v>
      </c>
      <c r="E1043">
        <v>70</v>
      </c>
    </row>
    <row r="1044" spans="1:5" x14ac:dyDescent="0.2">
      <c r="A1044" t="s">
        <v>1058</v>
      </c>
      <c r="B1044" t="s">
        <v>28</v>
      </c>
      <c r="C1044">
        <v>1</v>
      </c>
      <c r="D1044">
        <v>1</v>
      </c>
      <c r="E1044">
        <v>70</v>
      </c>
    </row>
    <row r="1045" spans="1:5" x14ac:dyDescent="0.2">
      <c r="A1045" t="s">
        <v>1059</v>
      </c>
      <c r="B1045" t="s">
        <v>23</v>
      </c>
      <c r="C1045">
        <v>1</v>
      </c>
      <c r="D1045">
        <v>0</v>
      </c>
      <c r="E1045">
        <v>10</v>
      </c>
    </row>
    <row r="1046" spans="1:5" x14ac:dyDescent="0.2">
      <c r="A1046" t="s">
        <v>1060</v>
      </c>
      <c r="B1046" t="s">
        <v>13</v>
      </c>
      <c r="C1046">
        <v>1</v>
      </c>
      <c r="D1046">
        <v>1</v>
      </c>
      <c r="E1046">
        <v>4</v>
      </c>
    </row>
    <row r="1047" spans="1:5" x14ac:dyDescent="0.2">
      <c r="A1047" t="s">
        <v>1061</v>
      </c>
      <c r="B1047" t="s">
        <v>46</v>
      </c>
      <c r="C1047">
        <v>0</v>
      </c>
      <c r="D1047">
        <v>1</v>
      </c>
      <c r="E1047">
        <v>10</v>
      </c>
    </row>
    <row r="1048" spans="1:5" x14ac:dyDescent="0.2">
      <c r="A1048" t="s">
        <v>517</v>
      </c>
      <c r="B1048" t="s">
        <v>53</v>
      </c>
      <c r="C1048">
        <v>0</v>
      </c>
      <c r="D1048">
        <v>1</v>
      </c>
      <c r="E1048">
        <v>70</v>
      </c>
    </row>
    <row r="1049" spans="1:5" x14ac:dyDescent="0.2">
      <c r="A1049" t="s">
        <v>1062</v>
      </c>
      <c r="B1049" t="s">
        <v>61</v>
      </c>
      <c r="C1049">
        <v>0</v>
      </c>
      <c r="D1049">
        <v>0</v>
      </c>
      <c r="E1049">
        <v>4</v>
      </c>
    </row>
    <row r="1050" spans="1:5" x14ac:dyDescent="0.2">
      <c r="A1050" t="s">
        <v>1063</v>
      </c>
      <c r="B1050" t="s">
        <v>8</v>
      </c>
      <c r="C1050">
        <v>1</v>
      </c>
      <c r="D1050">
        <v>1</v>
      </c>
      <c r="E1050">
        <v>4</v>
      </c>
    </row>
    <row r="1051" spans="1:5" x14ac:dyDescent="0.2">
      <c r="A1051" t="s">
        <v>1064</v>
      </c>
      <c r="B1051" t="s">
        <v>13</v>
      </c>
      <c r="C1051">
        <v>0</v>
      </c>
      <c r="D1051">
        <v>1</v>
      </c>
      <c r="E1051">
        <v>4</v>
      </c>
    </row>
    <row r="1052" spans="1:5" x14ac:dyDescent="0.2">
      <c r="A1052" t="s">
        <v>1065</v>
      </c>
      <c r="B1052" t="s">
        <v>46</v>
      </c>
      <c r="C1052">
        <v>1</v>
      </c>
      <c r="D1052">
        <v>1</v>
      </c>
      <c r="E1052">
        <v>40</v>
      </c>
    </row>
    <row r="1053" spans="1:5" x14ac:dyDescent="0.2">
      <c r="A1053" t="s">
        <v>1066</v>
      </c>
      <c r="B1053" t="s">
        <v>11</v>
      </c>
      <c r="C1053">
        <v>0</v>
      </c>
      <c r="D1053">
        <v>1</v>
      </c>
      <c r="E1053">
        <v>4</v>
      </c>
    </row>
    <row r="1054" spans="1:5" x14ac:dyDescent="0.2">
      <c r="A1054" t="s">
        <v>1067</v>
      </c>
      <c r="B1054" t="s">
        <v>53</v>
      </c>
      <c r="C1054">
        <v>0</v>
      </c>
      <c r="D1054">
        <v>0</v>
      </c>
      <c r="E1054">
        <v>20</v>
      </c>
    </row>
    <row r="1055" spans="1:5" x14ac:dyDescent="0.2">
      <c r="A1055" t="s">
        <v>1068</v>
      </c>
      <c r="B1055" t="s">
        <v>23</v>
      </c>
      <c r="C1055">
        <v>0</v>
      </c>
      <c r="D1055">
        <v>1</v>
      </c>
      <c r="E1055">
        <v>10</v>
      </c>
    </row>
    <row r="1056" spans="1:5" x14ac:dyDescent="0.2">
      <c r="A1056" t="s">
        <v>834</v>
      </c>
      <c r="B1056" t="s">
        <v>53</v>
      </c>
      <c r="C1056">
        <v>1</v>
      </c>
      <c r="D1056">
        <v>1</v>
      </c>
      <c r="E1056">
        <v>70</v>
      </c>
    </row>
    <row r="1057" spans="1:5" x14ac:dyDescent="0.2">
      <c r="A1057" t="s">
        <v>1069</v>
      </c>
      <c r="B1057" t="s">
        <v>17</v>
      </c>
      <c r="C1057">
        <v>0</v>
      </c>
      <c r="D1057">
        <v>1</v>
      </c>
      <c r="E1057">
        <v>10</v>
      </c>
    </row>
    <row r="1058" spans="1:5" x14ac:dyDescent="0.2">
      <c r="A1058" t="s">
        <v>1070</v>
      </c>
      <c r="B1058" t="s">
        <v>37</v>
      </c>
      <c r="C1058">
        <v>0</v>
      </c>
      <c r="D1058">
        <v>0</v>
      </c>
      <c r="E1058">
        <v>40</v>
      </c>
    </row>
    <row r="1059" spans="1:5" x14ac:dyDescent="0.2">
      <c r="A1059" t="s">
        <v>1071</v>
      </c>
      <c r="B1059" t="s">
        <v>53</v>
      </c>
      <c r="C1059">
        <v>1</v>
      </c>
      <c r="D1059">
        <v>0</v>
      </c>
      <c r="E1059">
        <v>4</v>
      </c>
    </row>
    <row r="1060" spans="1:5" x14ac:dyDescent="0.2">
      <c r="A1060" t="s">
        <v>1072</v>
      </c>
      <c r="B1060" t="s">
        <v>37</v>
      </c>
      <c r="C1060">
        <v>1</v>
      </c>
      <c r="D1060">
        <v>1</v>
      </c>
      <c r="E1060">
        <v>40</v>
      </c>
    </row>
    <row r="1061" spans="1:5" x14ac:dyDescent="0.2">
      <c r="A1061" t="s">
        <v>1073</v>
      </c>
      <c r="B1061" t="s">
        <v>23</v>
      </c>
      <c r="C1061">
        <v>1</v>
      </c>
      <c r="D1061">
        <v>0</v>
      </c>
      <c r="E1061">
        <v>40</v>
      </c>
    </row>
    <row r="1062" spans="1:5" x14ac:dyDescent="0.2">
      <c r="A1062" t="s">
        <v>1074</v>
      </c>
      <c r="B1062" t="s">
        <v>37</v>
      </c>
      <c r="C1062">
        <v>1</v>
      </c>
      <c r="D1062">
        <v>1</v>
      </c>
      <c r="E1062">
        <v>4</v>
      </c>
    </row>
    <row r="1063" spans="1:5" x14ac:dyDescent="0.2">
      <c r="A1063" t="s">
        <v>1075</v>
      </c>
      <c r="B1063" t="s">
        <v>11</v>
      </c>
      <c r="C1063">
        <v>1</v>
      </c>
      <c r="D1063">
        <v>0</v>
      </c>
      <c r="E1063">
        <v>40</v>
      </c>
    </row>
    <row r="1064" spans="1:5" x14ac:dyDescent="0.2">
      <c r="A1064" t="s">
        <v>1076</v>
      </c>
      <c r="B1064" t="s">
        <v>19</v>
      </c>
      <c r="C1064">
        <v>0</v>
      </c>
      <c r="D1064">
        <v>1</v>
      </c>
      <c r="E1064">
        <v>40</v>
      </c>
    </row>
    <row r="1065" spans="1:5" x14ac:dyDescent="0.2">
      <c r="A1065" t="s">
        <v>1077</v>
      </c>
      <c r="B1065" t="s">
        <v>11</v>
      </c>
      <c r="C1065">
        <v>0</v>
      </c>
      <c r="D1065">
        <v>0</v>
      </c>
      <c r="E1065">
        <v>40</v>
      </c>
    </row>
    <row r="1066" spans="1:5" x14ac:dyDescent="0.2">
      <c r="A1066" t="s">
        <v>1078</v>
      </c>
      <c r="B1066" t="s">
        <v>17</v>
      </c>
      <c r="C1066">
        <v>0</v>
      </c>
      <c r="D1066">
        <v>1</v>
      </c>
      <c r="E1066">
        <v>20</v>
      </c>
    </row>
    <row r="1067" spans="1:5" x14ac:dyDescent="0.2">
      <c r="A1067" t="s">
        <v>1079</v>
      </c>
      <c r="B1067" t="s">
        <v>28</v>
      </c>
      <c r="C1067">
        <v>1</v>
      </c>
      <c r="D1067">
        <v>1</v>
      </c>
      <c r="E1067">
        <v>20</v>
      </c>
    </row>
    <row r="1068" spans="1:5" x14ac:dyDescent="0.2">
      <c r="A1068" t="s">
        <v>1080</v>
      </c>
      <c r="B1068" t="s">
        <v>19</v>
      </c>
      <c r="C1068">
        <v>1</v>
      </c>
      <c r="D1068">
        <v>1</v>
      </c>
      <c r="E1068">
        <v>4</v>
      </c>
    </row>
    <row r="1069" spans="1:5" x14ac:dyDescent="0.2">
      <c r="A1069" t="s">
        <v>1081</v>
      </c>
      <c r="B1069" t="s">
        <v>13</v>
      </c>
      <c r="C1069">
        <v>0</v>
      </c>
      <c r="D1069">
        <v>0</v>
      </c>
      <c r="E1069">
        <v>4</v>
      </c>
    </row>
    <row r="1070" spans="1:5" x14ac:dyDescent="0.2">
      <c r="A1070" t="s">
        <v>1082</v>
      </c>
      <c r="B1070" t="s">
        <v>53</v>
      </c>
      <c r="C1070">
        <v>0</v>
      </c>
      <c r="D1070">
        <v>1</v>
      </c>
      <c r="E1070">
        <v>4</v>
      </c>
    </row>
    <row r="1071" spans="1:5" x14ac:dyDescent="0.2">
      <c r="A1071" t="s">
        <v>1083</v>
      </c>
      <c r="B1071" t="s">
        <v>13</v>
      </c>
      <c r="C1071">
        <v>1</v>
      </c>
      <c r="D1071">
        <v>1</v>
      </c>
      <c r="E1071">
        <v>4</v>
      </c>
    </row>
    <row r="1072" spans="1:5" x14ac:dyDescent="0.2">
      <c r="A1072" t="s">
        <v>1084</v>
      </c>
      <c r="B1072" t="s">
        <v>23</v>
      </c>
      <c r="C1072">
        <v>1</v>
      </c>
      <c r="D1072">
        <v>0</v>
      </c>
      <c r="E1072">
        <v>70</v>
      </c>
    </row>
    <row r="1073" spans="1:5" x14ac:dyDescent="0.2">
      <c r="A1073" t="s">
        <v>1085</v>
      </c>
      <c r="B1073" t="s">
        <v>19</v>
      </c>
      <c r="C1073">
        <v>1</v>
      </c>
      <c r="D1073">
        <v>1</v>
      </c>
      <c r="E1073">
        <v>10</v>
      </c>
    </row>
    <row r="1074" spans="1:5" x14ac:dyDescent="0.2">
      <c r="A1074" t="s">
        <v>1086</v>
      </c>
      <c r="B1074" t="s">
        <v>26</v>
      </c>
      <c r="C1074">
        <v>0</v>
      </c>
      <c r="D1074">
        <v>1</v>
      </c>
      <c r="E1074">
        <v>40</v>
      </c>
    </row>
    <row r="1075" spans="1:5" x14ac:dyDescent="0.2">
      <c r="A1075" t="s">
        <v>1087</v>
      </c>
      <c r="B1075" t="s">
        <v>37</v>
      </c>
      <c r="C1075">
        <v>1</v>
      </c>
      <c r="D1075">
        <v>0</v>
      </c>
      <c r="E1075">
        <v>20</v>
      </c>
    </row>
    <row r="1076" spans="1:5" x14ac:dyDescent="0.2">
      <c r="A1076" t="s">
        <v>1088</v>
      </c>
      <c r="B1076" t="s">
        <v>13</v>
      </c>
      <c r="C1076">
        <v>1</v>
      </c>
      <c r="D1076">
        <v>0</v>
      </c>
      <c r="E1076">
        <v>10</v>
      </c>
    </row>
    <row r="1077" spans="1:5" x14ac:dyDescent="0.2">
      <c r="A1077" t="s">
        <v>1089</v>
      </c>
      <c r="B1077" t="s">
        <v>8</v>
      </c>
      <c r="C1077">
        <v>0</v>
      </c>
      <c r="D1077">
        <v>1</v>
      </c>
      <c r="E1077">
        <v>70</v>
      </c>
    </row>
    <row r="1078" spans="1:5" x14ac:dyDescent="0.2">
      <c r="A1078" t="s">
        <v>1090</v>
      </c>
      <c r="B1078" t="s">
        <v>46</v>
      </c>
      <c r="C1078">
        <v>1</v>
      </c>
      <c r="D1078">
        <v>0</v>
      </c>
      <c r="E1078">
        <v>40</v>
      </c>
    </row>
    <row r="1079" spans="1:5" x14ac:dyDescent="0.2">
      <c r="A1079" t="s">
        <v>1091</v>
      </c>
      <c r="B1079" t="s">
        <v>28</v>
      </c>
      <c r="C1079">
        <v>1</v>
      </c>
      <c r="D1079">
        <v>0</v>
      </c>
      <c r="E1079">
        <v>4</v>
      </c>
    </row>
    <row r="1080" spans="1:5" x14ac:dyDescent="0.2">
      <c r="A1080" t="s">
        <v>1092</v>
      </c>
      <c r="B1080" t="s">
        <v>19</v>
      </c>
      <c r="C1080">
        <v>1</v>
      </c>
      <c r="D1080">
        <v>1</v>
      </c>
      <c r="E1080">
        <v>20</v>
      </c>
    </row>
    <row r="1081" spans="1:5" x14ac:dyDescent="0.2">
      <c r="A1081" t="s">
        <v>1093</v>
      </c>
      <c r="B1081" t="s">
        <v>28</v>
      </c>
      <c r="C1081">
        <v>1</v>
      </c>
      <c r="D1081">
        <v>1</v>
      </c>
      <c r="E1081">
        <v>20</v>
      </c>
    </row>
    <row r="1082" spans="1:5" x14ac:dyDescent="0.2">
      <c r="A1082" t="s">
        <v>1094</v>
      </c>
      <c r="B1082" t="s">
        <v>8</v>
      </c>
      <c r="C1082">
        <v>1</v>
      </c>
      <c r="D1082">
        <v>0</v>
      </c>
      <c r="E1082">
        <v>70</v>
      </c>
    </row>
    <row r="1083" spans="1:5" x14ac:dyDescent="0.2">
      <c r="A1083" t="s">
        <v>1095</v>
      </c>
      <c r="B1083" t="s">
        <v>26</v>
      </c>
      <c r="C1083">
        <v>0</v>
      </c>
      <c r="D1083">
        <v>1</v>
      </c>
      <c r="E1083">
        <v>20</v>
      </c>
    </row>
    <row r="1084" spans="1:5" x14ac:dyDescent="0.2">
      <c r="A1084" t="s">
        <v>1096</v>
      </c>
      <c r="B1084" t="s">
        <v>19</v>
      </c>
      <c r="C1084">
        <v>0</v>
      </c>
      <c r="D1084">
        <v>1</v>
      </c>
      <c r="E1084">
        <v>10</v>
      </c>
    </row>
    <row r="1085" spans="1:5" x14ac:dyDescent="0.2">
      <c r="A1085" t="s">
        <v>1097</v>
      </c>
      <c r="B1085" t="s">
        <v>6</v>
      </c>
      <c r="C1085">
        <v>1</v>
      </c>
      <c r="D1085">
        <v>0</v>
      </c>
      <c r="E1085">
        <v>70</v>
      </c>
    </row>
    <row r="1086" spans="1:5" x14ac:dyDescent="0.2">
      <c r="A1086" t="s">
        <v>1098</v>
      </c>
      <c r="B1086" t="s">
        <v>61</v>
      </c>
      <c r="C1086">
        <v>1</v>
      </c>
      <c r="D1086">
        <v>1</v>
      </c>
      <c r="E1086">
        <v>10</v>
      </c>
    </row>
    <row r="1087" spans="1:5" x14ac:dyDescent="0.2">
      <c r="A1087" t="s">
        <v>1099</v>
      </c>
      <c r="B1087" t="s">
        <v>37</v>
      </c>
      <c r="C1087">
        <v>0</v>
      </c>
      <c r="D1087">
        <v>0</v>
      </c>
      <c r="E1087">
        <v>10</v>
      </c>
    </row>
    <row r="1088" spans="1:5" x14ac:dyDescent="0.2">
      <c r="A1088" t="s">
        <v>1100</v>
      </c>
      <c r="B1088" t="s">
        <v>11</v>
      </c>
      <c r="C1088">
        <v>0</v>
      </c>
      <c r="D1088">
        <v>1</v>
      </c>
      <c r="E1088">
        <v>20</v>
      </c>
    </row>
    <row r="1089" spans="1:5" x14ac:dyDescent="0.2">
      <c r="A1089" t="s">
        <v>1101</v>
      </c>
      <c r="B1089" t="s">
        <v>23</v>
      </c>
      <c r="C1089">
        <v>1</v>
      </c>
      <c r="D1089">
        <v>1</v>
      </c>
      <c r="E1089">
        <v>70</v>
      </c>
    </row>
    <row r="1090" spans="1:5" x14ac:dyDescent="0.2">
      <c r="A1090" t="s">
        <v>1102</v>
      </c>
      <c r="B1090" t="s">
        <v>15</v>
      </c>
      <c r="C1090">
        <v>0</v>
      </c>
      <c r="D1090">
        <v>1</v>
      </c>
      <c r="E1090">
        <v>20</v>
      </c>
    </row>
    <row r="1091" spans="1:5" x14ac:dyDescent="0.2">
      <c r="A1091" t="s">
        <v>1103</v>
      </c>
      <c r="B1091" t="s">
        <v>23</v>
      </c>
      <c r="C1091">
        <v>1</v>
      </c>
      <c r="D1091">
        <v>1</v>
      </c>
      <c r="E1091">
        <v>10</v>
      </c>
    </row>
    <row r="1092" spans="1:5" x14ac:dyDescent="0.2">
      <c r="A1092" t="s">
        <v>1104</v>
      </c>
      <c r="B1092" t="s">
        <v>23</v>
      </c>
      <c r="C1092">
        <v>1</v>
      </c>
      <c r="D1092">
        <v>0</v>
      </c>
      <c r="E1092">
        <v>20</v>
      </c>
    </row>
    <row r="1093" spans="1:5" x14ac:dyDescent="0.2">
      <c r="A1093" t="s">
        <v>1105</v>
      </c>
      <c r="B1093" t="s">
        <v>40</v>
      </c>
      <c r="C1093">
        <v>1</v>
      </c>
      <c r="D1093">
        <v>1</v>
      </c>
      <c r="E1093">
        <v>4</v>
      </c>
    </row>
    <row r="1094" spans="1:5" x14ac:dyDescent="0.2">
      <c r="A1094" t="s">
        <v>1106</v>
      </c>
      <c r="B1094" t="s">
        <v>26</v>
      </c>
      <c r="C1094">
        <v>0</v>
      </c>
      <c r="D1094">
        <v>1</v>
      </c>
      <c r="E1094">
        <v>4</v>
      </c>
    </row>
    <row r="1095" spans="1:5" x14ac:dyDescent="0.2">
      <c r="A1095" t="s">
        <v>1107</v>
      </c>
      <c r="B1095" t="s">
        <v>37</v>
      </c>
      <c r="C1095">
        <v>0</v>
      </c>
      <c r="D1095">
        <v>1</v>
      </c>
      <c r="E1095">
        <v>10</v>
      </c>
    </row>
    <row r="1096" spans="1:5" x14ac:dyDescent="0.2">
      <c r="A1096" t="s">
        <v>1108</v>
      </c>
      <c r="B1096" t="s">
        <v>11</v>
      </c>
      <c r="C1096">
        <v>1</v>
      </c>
      <c r="D1096">
        <v>1</v>
      </c>
      <c r="E1096">
        <v>20</v>
      </c>
    </row>
    <row r="1097" spans="1:5" x14ac:dyDescent="0.2">
      <c r="A1097" t="s">
        <v>1109</v>
      </c>
      <c r="B1097" t="s">
        <v>23</v>
      </c>
      <c r="C1097">
        <v>1</v>
      </c>
      <c r="D1097">
        <v>1</v>
      </c>
      <c r="E1097">
        <v>4</v>
      </c>
    </row>
    <row r="1098" spans="1:5" x14ac:dyDescent="0.2">
      <c r="A1098" t="s">
        <v>1110</v>
      </c>
      <c r="B1098" t="s">
        <v>61</v>
      </c>
      <c r="C1098">
        <v>0</v>
      </c>
      <c r="D1098">
        <v>1</v>
      </c>
      <c r="E1098">
        <v>70</v>
      </c>
    </row>
    <row r="1099" spans="1:5" x14ac:dyDescent="0.2">
      <c r="A1099" t="s">
        <v>1111</v>
      </c>
      <c r="B1099" t="s">
        <v>8</v>
      </c>
      <c r="C1099">
        <v>0</v>
      </c>
      <c r="D1099">
        <v>1</v>
      </c>
      <c r="E1099">
        <v>70</v>
      </c>
    </row>
    <row r="1100" spans="1:5" x14ac:dyDescent="0.2">
      <c r="A1100" t="s">
        <v>1112</v>
      </c>
      <c r="B1100" t="s">
        <v>37</v>
      </c>
      <c r="C1100">
        <v>0</v>
      </c>
      <c r="D1100">
        <v>0</v>
      </c>
      <c r="E1100">
        <v>10</v>
      </c>
    </row>
    <row r="1101" spans="1:5" x14ac:dyDescent="0.2">
      <c r="A1101" t="s">
        <v>1113</v>
      </c>
      <c r="B1101" t="s">
        <v>37</v>
      </c>
      <c r="C1101">
        <v>1</v>
      </c>
      <c r="D1101">
        <v>1</v>
      </c>
      <c r="E1101">
        <v>70</v>
      </c>
    </row>
    <row r="1102" spans="1:5" x14ac:dyDescent="0.2">
      <c r="A1102" t="s">
        <v>1114</v>
      </c>
      <c r="B1102" t="s">
        <v>40</v>
      </c>
      <c r="C1102">
        <v>0</v>
      </c>
      <c r="D1102">
        <v>0</v>
      </c>
      <c r="E1102">
        <v>40</v>
      </c>
    </row>
    <row r="1103" spans="1:5" x14ac:dyDescent="0.2">
      <c r="A1103" t="s">
        <v>1115</v>
      </c>
      <c r="B1103" t="s">
        <v>61</v>
      </c>
      <c r="C1103">
        <v>0</v>
      </c>
      <c r="D1103">
        <v>0</v>
      </c>
      <c r="E1103">
        <v>40</v>
      </c>
    </row>
    <row r="1104" spans="1:5" x14ac:dyDescent="0.2">
      <c r="A1104" t="s">
        <v>1116</v>
      </c>
      <c r="B1104" t="s">
        <v>15</v>
      </c>
      <c r="C1104">
        <v>1</v>
      </c>
      <c r="D1104">
        <v>1</v>
      </c>
      <c r="E1104">
        <v>10</v>
      </c>
    </row>
    <row r="1105" spans="1:5" x14ac:dyDescent="0.2">
      <c r="A1105" t="s">
        <v>1117</v>
      </c>
      <c r="B1105" t="s">
        <v>11</v>
      </c>
      <c r="C1105">
        <v>0</v>
      </c>
      <c r="D1105">
        <v>1</v>
      </c>
      <c r="E1105">
        <v>20</v>
      </c>
    </row>
    <row r="1106" spans="1:5" x14ac:dyDescent="0.2">
      <c r="A1106" t="s">
        <v>1118</v>
      </c>
      <c r="B1106" t="s">
        <v>13</v>
      </c>
      <c r="C1106">
        <v>1</v>
      </c>
      <c r="D1106">
        <v>1</v>
      </c>
      <c r="E1106">
        <v>10</v>
      </c>
    </row>
    <row r="1107" spans="1:5" x14ac:dyDescent="0.2">
      <c r="A1107" t="s">
        <v>1119</v>
      </c>
      <c r="B1107" t="s">
        <v>13</v>
      </c>
      <c r="C1107">
        <v>0</v>
      </c>
      <c r="D1107">
        <v>0</v>
      </c>
      <c r="E1107">
        <v>4</v>
      </c>
    </row>
    <row r="1108" spans="1:5" x14ac:dyDescent="0.2">
      <c r="A1108" t="s">
        <v>1120</v>
      </c>
      <c r="B1108" t="s">
        <v>8</v>
      </c>
      <c r="C1108">
        <v>0</v>
      </c>
      <c r="D1108">
        <v>0</v>
      </c>
      <c r="E1108">
        <v>40</v>
      </c>
    </row>
    <row r="1109" spans="1:5" x14ac:dyDescent="0.2">
      <c r="A1109" t="s">
        <v>1121</v>
      </c>
      <c r="B1109" t="s">
        <v>8</v>
      </c>
      <c r="C1109">
        <v>0</v>
      </c>
      <c r="D1109">
        <v>0</v>
      </c>
      <c r="E1109">
        <v>40</v>
      </c>
    </row>
    <row r="1110" spans="1:5" x14ac:dyDescent="0.2">
      <c r="A1110" t="s">
        <v>1122</v>
      </c>
      <c r="B1110" t="s">
        <v>13</v>
      </c>
      <c r="C1110">
        <v>0</v>
      </c>
      <c r="D1110">
        <v>1</v>
      </c>
      <c r="E1110">
        <v>20</v>
      </c>
    </row>
    <row r="1111" spans="1:5" x14ac:dyDescent="0.2">
      <c r="A1111" t="s">
        <v>1123</v>
      </c>
      <c r="B1111" t="s">
        <v>40</v>
      </c>
      <c r="C1111">
        <v>0</v>
      </c>
      <c r="D1111">
        <v>1</v>
      </c>
      <c r="E1111">
        <v>10</v>
      </c>
    </row>
    <row r="1112" spans="1:5" x14ac:dyDescent="0.2">
      <c r="A1112" t="s">
        <v>1124</v>
      </c>
      <c r="B1112" t="s">
        <v>40</v>
      </c>
      <c r="C1112">
        <v>1</v>
      </c>
      <c r="D1112">
        <v>1</v>
      </c>
      <c r="E1112">
        <v>4</v>
      </c>
    </row>
    <row r="1113" spans="1:5" x14ac:dyDescent="0.2">
      <c r="A1113" t="s">
        <v>1125</v>
      </c>
      <c r="B1113" t="s">
        <v>13</v>
      </c>
      <c r="C1113">
        <v>1</v>
      </c>
      <c r="D1113">
        <v>1</v>
      </c>
      <c r="E1113">
        <v>4</v>
      </c>
    </row>
    <row r="1114" spans="1:5" x14ac:dyDescent="0.2">
      <c r="A1114" t="s">
        <v>1126</v>
      </c>
      <c r="B1114" t="s">
        <v>40</v>
      </c>
      <c r="C1114">
        <v>0</v>
      </c>
      <c r="D1114">
        <v>0</v>
      </c>
      <c r="E1114">
        <v>20</v>
      </c>
    </row>
    <row r="1115" spans="1:5" x14ac:dyDescent="0.2">
      <c r="A1115" t="s">
        <v>1127</v>
      </c>
      <c r="B1115" t="s">
        <v>17</v>
      </c>
      <c r="C1115">
        <v>1</v>
      </c>
      <c r="D1115">
        <v>1</v>
      </c>
      <c r="E1115">
        <v>20</v>
      </c>
    </row>
    <row r="1116" spans="1:5" x14ac:dyDescent="0.2">
      <c r="A1116" t="s">
        <v>1128</v>
      </c>
      <c r="B1116" t="s">
        <v>19</v>
      </c>
      <c r="C1116">
        <v>1</v>
      </c>
      <c r="D1116">
        <v>1</v>
      </c>
      <c r="E1116">
        <v>10</v>
      </c>
    </row>
    <row r="1117" spans="1:5" x14ac:dyDescent="0.2">
      <c r="A1117" t="s">
        <v>1129</v>
      </c>
      <c r="B1117" t="s">
        <v>46</v>
      </c>
      <c r="C1117">
        <v>1</v>
      </c>
      <c r="D1117">
        <v>1</v>
      </c>
      <c r="E1117">
        <v>10</v>
      </c>
    </row>
    <row r="1118" spans="1:5" x14ac:dyDescent="0.2">
      <c r="A1118" t="s">
        <v>1130</v>
      </c>
      <c r="B1118" t="s">
        <v>8</v>
      </c>
      <c r="C1118">
        <v>1</v>
      </c>
      <c r="D1118">
        <v>1</v>
      </c>
      <c r="E1118">
        <v>20</v>
      </c>
    </row>
    <row r="1119" spans="1:5" x14ac:dyDescent="0.2">
      <c r="A1119" t="s">
        <v>1131</v>
      </c>
      <c r="B1119" t="s">
        <v>46</v>
      </c>
      <c r="C1119">
        <v>0</v>
      </c>
      <c r="D1119">
        <v>0</v>
      </c>
      <c r="E1119">
        <v>20</v>
      </c>
    </row>
    <row r="1120" spans="1:5" x14ac:dyDescent="0.2">
      <c r="A1120" t="s">
        <v>1132</v>
      </c>
      <c r="B1120" t="s">
        <v>15</v>
      </c>
      <c r="C1120">
        <v>0</v>
      </c>
      <c r="D1120">
        <v>1</v>
      </c>
      <c r="E1120">
        <v>40</v>
      </c>
    </row>
    <row r="1121" spans="1:5" x14ac:dyDescent="0.2">
      <c r="A1121" t="s">
        <v>1133</v>
      </c>
      <c r="B1121" t="s">
        <v>46</v>
      </c>
      <c r="C1121">
        <v>1</v>
      </c>
      <c r="D1121">
        <v>0</v>
      </c>
      <c r="E1121">
        <v>10</v>
      </c>
    </row>
    <row r="1122" spans="1:5" x14ac:dyDescent="0.2">
      <c r="A1122" t="s">
        <v>1134</v>
      </c>
      <c r="B1122" t="s">
        <v>15</v>
      </c>
      <c r="C1122">
        <v>0</v>
      </c>
      <c r="D1122">
        <v>1</v>
      </c>
      <c r="E1122">
        <v>70</v>
      </c>
    </row>
    <row r="1123" spans="1:5" x14ac:dyDescent="0.2">
      <c r="A1123" t="s">
        <v>1135</v>
      </c>
      <c r="B1123" t="s">
        <v>17</v>
      </c>
      <c r="C1123">
        <v>1</v>
      </c>
      <c r="D1123">
        <v>1</v>
      </c>
      <c r="E1123">
        <v>10</v>
      </c>
    </row>
    <row r="1124" spans="1:5" x14ac:dyDescent="0.2">
      <c r="A1124" t="s">
        <v>1136</v>
      </c>
      <c r="B1124" t="s">
        <v>6</v>
      </c>
      <c r="C1124">
        <v>1</v>
      </c>
      <c r="D1124">
        <v>0</v>
      </c>
      <c r="E1124">
        <v>70</v>
      </c>
    </row>
    <row r="1125" spans="1:5" x14ac:dyDescent="0.2">
      <c r="A1125" t="s">
        <v>1137</v>
      </c>
      <c r="B1125" t="s">
        <v>19</v>
      </c>
      <c r="C1125">
        <v>0</v>
      </c>
      <c r="D1125">
        <v>1</v>
      </c>
      <c r="E1125">
        <v>4</v>
      </c>
    </row>
    <row r="1126" spans="1:5" x14ac:dyDescent="0.2">
      <c r="A1126" t="s">
        <v>1138</v>
      </c>
      <c r="B1126" t="s">
        <v>15</v>
      </c>
      <c r="C1126">
        <v>1</v>
      </c>
      <c r="D1126">
        <v>0</v>
      </c>
      <c r="E1126">
        <v>40</v>
      </c>
    </row>
    <row r="1127" spans="1:5" x14ac:dyDescent="0.2">
      <c r="A1127" t="s">
        <v>1139</v>
      </c>
      <c r="B1127" t="s">
        <v>40</v>
      </c>
      <c r="C1127">
        <v>1</v>
      </c>
      <c r="D1127">
        <v>1</v>
      </c>
      <c r="E1127">
        <v>10</v>
      </c>
    </row>
    <row r="1128" spans="1:5" x14ac:dyDescent="0.2">
      <c r="A1128" t="s">
        <v>1140</v>
      </c>
      <c r="B1128" t="s">
        <v>46</v>
      </c>
      <c r="C1128">
        <v>1</v>
      </c>
      <c r="D1128">
        <v>1</v>
      </c>
      <c r="E1128">
        <v>10</v>
      </c>
    </row>
    <row r="1129" spans="1:5" x14ac:dyDescent="0.2">
      <c r="A1129" t="s">
        <v>1141</v>
      </c>
      <c r="B1129" t="s">
        <v>61</v>
      </c>
      <c r="C1129">
        <v>1</v>
      </c>
      <c r="D1129">
        <v>0</v>
      </c>
      <c r="E1129">
        <v>70</v>
      </c>
    </row>
    <row r="1130" spans="1:5" x14ac:dyDescent="0.2">
      <c r="A1130" t="s">
        <v>1142</v>
      </c>
      <c r="B1130" t="s">
        <v>53</v>
      </c>
      <c r="C1130">
        <v>1</v>
      </c>
      <c r="D1130">
        <v>1</v>
      </c>
      <c r="E1130">
        <v>20</v>
      </c>
    </row>
    <row r="1131" spans="1:5" x14ac:dyDescent="0.2">
      <c r="A1131" t="s">
        <v>1143</v>
      </c>
      <c r="B1131" t="s">
        <v>19</v>
      </c>
      <c r="C1131">
        <v>0</v>
      </c>
      <c r="D1131">
        <v>1</v>
      </c>
      <c r="E1131">
        <v>70</v>
      </c>
    </row>
    <row r="1132" spans="1:5" x14ac:dyDescent="0.2">
      <c r="A1132" t="s">
        <v>1144</v>
      </c>
      <c r="B1132" t="s">
        <v>11</v>
      </c>
      <c r="C1132">
        <v>1</v>
      </c>
      <c r="D1132">
        <v>1</v>
      </c>
      <c r="E1132">
        <v>20</v>
      </c>
    </row>
    <row r="1133" spans="1:5" x14ac:dyDescent="0.2">
      <c r="A1133" t="s">
        <v>1145</v>
      </c>
      <c r="B1133" t="s">
        <v>40</v>
      </c>
      <c r="C1133">
        <v>1</v>
      </c>
      <c r="D1133">
        <v>1</v>
      </c>
      <c r="E1133">
        <v>4</v>
      </c>
    </row>
    <row r="1134" spans="1:5" x14ac:dyDescent="0.2">
      <c r="A1134" t="s">
        <v>1146</v>
      </c>
      <c r="B1134" t="s">
        <v>40</v>
      </c>
      <c r="C1134">
        <v>0</v>
      </c>
      <c r="D1134">
        <v>1</v>
      </c>
      <c r="E1134">
        <v>40</v>
      </c>
    </row>
    <row r="1135" spans="1:5" x14ac:dyDescent="0.2">
      <c r="A1135" t="s">
        <v>1147</v>
      </c>
      <c r="B1135" t="s">
        <v>26</v>
      </c>
      <c r="C1135">
        <v>1</v>
      </c>
      <c r="D1135">
        <v>0</v>
      </c>
      <c r="E1135">
        <v>40</v>
      </c>
    </row>
    <row r="1136" spans="1:5" x14ac:dyDescent="0.2">
      <c r="A1136" t="s">
        <v>1148</v>
      </c>
      <c r="B1136" t="s">
        <v>13</v>
      </c>
      <c r="C1136">
        <v>0</v>
      </c>
      <c r="D1136">
        <v>0</v>
      </c>
      <c r="E1136">
        <v>70</v>
      </c>
    </row>
    <row r="1137" spans="1:5" x14ac:dyDescent="0.2">
      <c r="A1137" t="s">
        <v>1149</v>
      </c>
      <c r="B1137" t="s">
        <v>19</v>
      </c>
      <c r="C1137">
        <v>1</v>
      </c>
      <c r="D1137">
        <v>1</v>
      </c>
      <c r="E1137">
        <v>10</v>
      </c>
    </row>
    <row r="1138" spans="1:5" x14ac:dyDescent="0.2">
      <c r="A1138" t="s">
        <v>1150</v>
      </c>
      <c r="B1138" t="s">
        <v>37</v>
      </c>
      <c r="C1138">
        <v>0</v>
      </c>
      <c r="D1138">
        <v>1</v>
      </c>
      <c r="E1138">
        <v>10</v>
      </c>
    </row>
    <row r="1139" spans="1:5" x14ac:dyDescent="0.2">
      <c r="A1139" t="s">
        <v>1151</v>
      </c>
      <c r="B1139" t="s">
        <v>46</v>
      </c>
      <c r="C1139">
        <v>0</v>
      </c>
      <c r="D1139">
        <v>1</v>
      </c>
      <c r="E1139">
        <v>40</v>
      </c>
    </row>
    <row r="1140" spans="1:5" x14ac:dyDescent="0.2">
      <c r="A1140" t="s">
        <v>1152</v>
      </c>
      <c r="B1140" t="s">
        <v>26</v>
      </c>
      <c r="C1140">
        <v>0</v>
      </c>
      <c r="D1140">
        <v>1</v>
      </c>
      <c r="E1140">
        <v>4</v>
      </c>
    </row>
    <row r="1141" spans="1:5" x14ac:dyDescent="0.2">
      <c r="A1141" t="s">
        <v>1153</v>
      </c>
      <c r="B1141" t="s">
        <v>23</v>
      </c>
      <c r="C1141">
        <v>0</v>
      </c>
      <c r="D1141">
        <v>1</v>
      </c>
      <c r="E1141">
        <v>20</v>
      </c>
    </row>
    <row r="1142" spans="1:5" x14ac:dyDescent="0.2">
      <c r="A1142" t="s">
        <v>1154</v>
      </c>
      <c r="B1142" t="s">
        <v>11</v>
      </c>
      <c r="C1142">
        <v>0</v>
      </c>
      <c r="D1142">
        <v>0</v>
      </c>
      <c r="E1142">
        <v>20</v>
      </c>
    </row>
    <row r="1143" spans="1:5" x14ac:dyDescent="0.2">
      <c r="A1143" t="s">
        <v>1155</v>
      </c>
      <c r="B1143" t="s">
        <v>15</v>
      </c>
      <c r="C1143">
        <v>1</v>
      </c>
      <c r="D1143">
        <v>1</v>
      </c>
      <c r="E1143">
        <v>20</v>
      </c>
    </row>
    <row r="1144" spans="1:5" x14ac:dyDescent="0.2">
      <c r="A1144" t="s">
        <v>1156</v>
      </c>
      <c r="B1144" t="s">
        <v>37</v>
      </c>
      <c r="C1144">
        <v>1</v>
      </c>
      <c r="D1144">
        <v>0</v>
      </c>
      <c r="E1144">
        <v>4</v>
      </c>
    </row>
    <row r="1145" spans="1:5" x14ac:dyDescent="0.2">
      <c r="A1145" t="s">
        <v>1157</v>
      </c>
      <c r="B1145" t="s">
        <v>17</v>
      </c>
      <c r="C1145">
        <v>0</v>
      </c>
      <c r="D1145">
        <v>1</v>
      </c>
      <c r="E1145">
        <v>4</v>
      </c>
    </row>
    <row r="1146" spans="1:5" x14ac:dyDescent="0.2">
      <c r="A1146" t="s">
        <v>1158</v>
      </c>
      <c r="B1146" t="s">
        <v>8</v>
      </c>
      <c r="C1146">
        <v>1</v>
      </c>
      <c r="D1146">
        <v>0</v>
      </c>
      <c r="E1146">
        <v>4</v>
      </c>
    </row>
    <row r="1147" spans="1:5" x14ac:dyDescent="0.2">
      <c r="A1147" t="s">
        <v>1159</v>
      </c>
      <c r="B1147" t="s">
        <v>8</v>
      </c>
      <c r="C1147">
        <v>1</v>
      </c>
      <c r="D1147">
        <v>1</v>
      </c>
      <c r="E1147">
        <v>20</v>
      </c>
    </row>
    <row r="1148" spans="1:5" x14ac:dyDescent="0.2">
      <c r="A1148" t="s">
        <v>1160</v>
      </c>
      <c r="B1148" t="s">
        <v>28</v>
      </c>
      <c r="C1148">
        <v>0</v>
      </c>
      <c r="D1148">
        <v>1</v>
      </c>
      <c r="E1148">
        <v>40</v>
      </c>
    </row>
    <row r="1149" spans="1:5" x14ac:dyDescent="0.2">
      <c r="A1149" t="s">
        <v>1161</v>
      </c>
      <c r="B1149" t="s">
        <v>19</v>
      </c>
      <c r="C1149">
        <v>1</v>
      </c>
      <c r="D1149">
        <v>1</v>
      </c>
      <c r="E1149">
        <v>20</v>
      </c>
    </row>
    <row r="1150" spans="1:5" x14ac:dyDescent="0.2">
      <c r="A1150" t="s">
        <v>1162</v>
      </c>
      <c r="B1150" t="s">
        <v>37</v>
      </c>
      <c r="C1150">
        <v>1</v>
      </c>
      <c r="D1150">
        <v>0</v>
      </c>
      <c r="E1150">
        <v>10</v>
      </c>
    </row>
    <row r="1151" spans="1:5" x14ac:dyDescent="0.2">
      <c r="A1151" t="s">
        <v>1163</v>
      </c>
      <c r="B1151" t="s">
        <v>6</v>
      </c>
      <c r="C1151">
        <v>1</v>
      </c>
      <c r="D1151">
        <v>1</v>
      </c>
      <c r="E1151">
        <v>20</v>
      </c>
    </row>
    <row r="1152" spans="1:5" x14ac:dyDescent="0.2">
      <c r="A1152" t="s">
        <v>1164</v>
      </c>
      <c r="B1152" t="s">
        <v>53</v>
      </c>
      <c r="C1152">
        <v>1</v>
      </c>
      <c r="D1152">
        <v>0</v>
      </c>
      <c r="E1152">
        <v>40</v>
      </c>
    </row>
    <row r="1153" spans="1:5" x14ac:dyDescent="0.2">
      <c r="A1153" t="s">
        <v>1165</v>
      </c>
      <c r="B1153" t="s">
        <v>23</v>
      </c>
      <c r="C1153">
        <v>0</v>
      </c>
      <c r="D1153">
        <v>1</v>
      </c>
      <c r="E1153">
        <v>10</v>
      </c>
    </row>
    <row r="1154" spans="1:5" x14ac:dyDescent="0.2">
      <c r="A1154" t="s">
        <v>1166</v>
      </c>
      <c r="B1154" t="s">
        <v>53</v>
      </c>
      <c r="C1154">
        <v>0</v>
      </c>
      <c r="D1154">
        <v>1</v>
      </c>
      <c r="E1154">
        <v>10</v>
      </c>
    </row>
    <row r="1155" spans="1:5" x14ac:dyDescent="0.2">
      <c r="A1155" t="s">
        <v>1167</v>
      </c>
      <c r="B1155" t="s">
        <v>13</v>
      </c>
      <c r="C1155">
        <v>1</v>
      </c>
      <c r="D1155">
        <v>0</v>
      </c>
      <c r="E1155">
        <v>20</v>
      </c>
    </row>
    <row r="1156" spans="1:5" x14ac:dyDescent="0.2">
      <c r="A1156" t="s">
        <v>1168</v>
      </c>
      <c r="B1156" t="s">
        <v>40</v>
      </c>
      <c r="C1156">
        <v>1</v>
      </c>
      <c r="D1156">
        <v>1</v>
      </c>
      <c r="E1156">
        <v>20</v>
      </c>
    </row>
    <row r="1157" spans="1:5" x14ac:dyDescent="0.2">
      <c r="A1157" t="s">
        <v>1169</v>
      </c>
      <c r="B1157" t="s">
        <v>26</v>
      </c>
      <c r="C1157">
        <v>1</v>
      </c>
      <c r="D1157">
        <v>1</v>
      </c>
      <c r="E1157">
        <v>20</v>
      </c>
    </row>
    <row r="1158" spans="1:5" x14ac:dyDescent="0.2">
      <c r="A1158" t="s">
        <v>1170</v>
      </c>
      <c r="B1158" t="s">
        <v>61</v>
      </c>
      <c r="C1158">
        <v>1</v>
      </c>
      <c r="D1158">
        <v>1</v>
      </c>
      <c r="E1158">
        <v>70</v>
      </c>
    </row>
    <row r="1159" spans="1:5" x14ac:dyDescent="0.2">
      <c r="A1159" t="s">
        <v>1171</v>
      </c>
      <c r="B1159" t="s">
        <v>8</v>
      </c>
      <c r="C1159">
        <v>0</v>
      </c>
      <c r="D1159">
        <v>1</v>
      </c>
      <c r="E1159">
        <v>20</v>
      </c>
    </row>
    <row r="1160" spans="1:5" x14ac:dyDescent="0.2">
      <c r="A1160" t="s">
        <v>1172</v>
      </c>
      <c r="B1160" t="s">
        <v>28</v>
      </c>
      <c r="C1160">
        <v>1</v>
      </c>
      <c r="D1160">
        <v>1</v>
      </c>
      <c r="E1160">
        <v>40</v>
      </c>
    </row>
    <row r="1161" spans="1:5" x14ac:dyDescent="0.2">
      <c r="A1161" t="s">
        <v>1173</v>
      </c>
      <c r="B1161" t="s">
        <v>8</v>
      </c>
      <c r="C1161">
        <v>0</v>
      </c>
      <c r="D1161">
        <v>1</v>
      </c>
      <c r="E1161">
        <v>20</v>
      </c>
    </row>
    <row r="1162" spans="1:5" x14ac:dyDescent="0.2">
      <c r="A1162" t="s">
        <v>1174</v>
      </c>
      <c r="B1162" t="s">
        <v>61</v>
      </c>
      <c r="C1162">
        <v>1</v>
      </c>
      <c r="D1162">
        <v>0</v>
      </c>
      <c r="E1162">
        <v>20</v>
      </c>
    </row>
    <row r="1163" spans="1:5" x14ac:dyDescent="0.2">
      <c r="A1163" t="s">
        <v>1175</v>
      </c>
      <c r="B1163" t="s">
        <v>28</v>
      </c>
      <c r="C1163">
        <v>0</v>
      </c>
      <c r="D1163">
        <v>0</v>
      </c>
      <c r="E1163">
        <v>4</v>
      </c>
    </row>
    <row r="1164" spans="1:5" x14ac:dyDescent="0.2">
      <c r="A1164" t="s">
        <v>1176</v>
      </c>
      <c r="B1164" t="s">
        <v>53</v>
      </c>
      <c r="C1164">
        <v>1</v>
      </c>
      <c r="D1164">
        <v>0</v>
      </c>
      <c r="E1164">
        <v>20</v>
      </c>
    </row>
    <row r="1165" spans="1:5" x14ac:dyDescent="0.2">
      <c r="A1165" t="s">
        <v>1177</v>
      </c>
      <c r="B1165" t="s">
        <v>23</v>
      </c>
      <c r="C1165">
        <v>1</v>
      </c>
      <c r="D1165">
        <v>0</v>
      </c>
      <c r="E1165">
        <v>20</v>
      </c>
    </row>
    <row r="1166" spans="1:5" x14ac:dyDescent="0.2">
      <c r="A1166" t="s">
        <v>1178</v>
      </c>
      <c r="B1166" t="s">
        <v>61</v>
      </c>
      <c r="C1166">
        <v>1</v>
      </c>
      <c r="D1166">
        <v>1</v>
      </c>
      <c r="E1166">
        <v>70</v>
      </c>
    </row>
    <row r="1167" spans="1:5" x14ac:dyDescent="0.2">
      <c r="A1167" t="s">
        <v>1179</v>
      </c>
      <c r="B1167" t="s">
        <v>17</v>
      </c>
      <c r="C1167">
        <v>1</v>
      </c>
      <c r="D1167">
        <v>0</v>
      </c>
      <c r="E1167">
        <v>40</v>
      </c>
    </row>
    <row r="1168" spans="1:5" x14ac:dyDescent="0.2">
      <c r="A1168" t="s">
        <v>1180</v>
      </c>
      <c r="B1168" t="s">
        <v>28</v>
      </c>
      <c r="C1168">
        <v>1</v>
      </c>
      <c r="D1168">
        <v>1</v>
      </c>
      <c r="E1168">
        <v>4</v>
      </c>
    </row>
    <row r="1169" spans="1:5" x14ac:dyDescent="0.2">
      <c r="A1169" t="s">
        <v>1181</v>
      </c>
      <c r="B1169" t="s">
        <v>8</v>
      </c>
      <c r="C1169">
        <v>1</v>
      </c>
      <c r="D1169">
        <v>1</v>
      </c>
      <c r="E1169">
        <v>10</v>
      </c>
    </row>
    <row r="1170" spans="1:5" x14ac:dyDescent="0.2">
      <c r="A1170" t="s">
        <v>1182</v>
      </c>
      <c r="B1170" t="s">
        <v>11</v>
      </c>
      <c r="C1170">
        <v>0</v>
      </c>
      <c r="D1170">
        <v>1</v>
      </c>
      <c r="E1170">
        <v>20</v>
      </c>
    </row>
    <row r="1171" spans="1:5" x14ac:dyDescent="0.2">
      <c r="A1171" t="s">
        <v>1183</v>
      </c>
      <c r="B1171" t="s">
        <v>28</v>
      </c>
      <c r="C1171">
        <v>0</v>
      </c>
      <c r="D1171">
        <v>1</v>
      </c>
      <c r="E1171">
        <v>40</v>
      </c>
    </row>
    <row r="1172" spans="1:5" x14ac:dyDescent="0.2">
      <c r="A1172" t="s">
        <v>1184</v>
      </c>
      <c r="B1172" t="s">
        <v>19</v>
      </c>
      <c r="C1172">
        <v>1</v>
      </c>
      <c r="D1172">
        <v>0</v>
      </c>
      <c r="E1172">
        <v>20</v>
      </c>
    </row>
    <row r="1173" spans="1:5" x14ac:dyDescent="0.2">
      <c r="A1173" t="s">
        <v>1185</v>
      </c>
      <c r="B1173" t="s">
        <v>11</v>
      </c>
      <c r="C1173">
        <v>1</v>
      </c>
      <c r="D1173">
        <v>0</v>
      </c>
      <c r="E1173">
        <v>4</v>
      </c>
    </row>
    <row r="1174" spans="1:5" x14ac:dyDescent="0.2">
      <c r="A1174" t="s">
        <v>1186</v>
      </c>
      <c r="B1174" t="s">
        <v>17</v>
      </c>
      <c r="C1174">
        <v>1</v>
      </c>
      <c r="D1174">
        <v>1</v>
      </c>
      <c r="E1174">
        <v>4</v>
      </c>
    </row>
    <row r="1175" spans="1:5" x14ac:dyDescent="0.2">
      <c r="A1175" t="s">
        <v>1187</v>
      </c>
      <c r="B1175" t="s">
        <v>11</v>
      </c>
      <c r="C1175">
        <v>0</v>
      </c>
      <c r="D1175">
        <v>1</v>
      </c>
      <c r="E1175">
        <v>40</v>
      </c>
    </row>
    <row r="1176" spans="1:5" x14ac:dyDescent="0.2">
      <c r="A1176" t="s">
        <v>1188</v>
      </c>
      <c r="B1176" t="s">
        <v>23</v>
      </c>
      <c r="C1176">
        <v>1</v>
      </c>
      <c r="D1176">
        <v>1</v>
      </c>
      <c r="E1176">
        <v>20</v>
      </c>
    </row>
    <row r="1177" spans="1:5" x14ac:dyDescent="0.2">
      <c r="A1177" t="s">
        <v>1189</v>
      </c>
      <c r="B1177" t="s">
        <v>11</v>
      </c>
      <c r="C1177">
        <v>1</v>
      </c>
      <c r="D1177">
        <v>1</v>
      </c>
      <c r="E1177">
        <v>40</v>
      </c>
    </row>
    <row r="1178" spans="1:5" x14ac:dyDescent="0.2">
      <c r="A1178" t="s">
        <v>1190</v>
      </c>
      <c r="B1178" t="s">
        <v>17</v>
      </c>
      <c r="C1178">
        <v>1</v>
      </c>
      <c r="D1178">
        <v>0</v>
      </c>
      <c r="E1178">
        <v>40</v>
      </c>
    </row>
    <row r="1179" spans="1:5" x14ac:dyDescent="0.2">
      <c r="A1179" t="s">
        <v>1191</v>
      </c>
      <c r="B1179" t="s">
        <v>46</v>
      </c>
      <c r="C1179">
        <v>0</v>
      </c>
      <c r="D1179">
        <v>1</v>
      </c>
      <c r="E1179">
        <v>20</v>
      </c>
    </row>
    <row r="1180" spans="1:5" x14ac:dyDescent="0.2">
      <c r="A1180" t="s">
        <v>1192</v>
      </c>
      <c r="B1180" t="s">
        <v>17</v>
      </c>
      <c r="C1180">
        <v>0</v>
      </c>
      <c r="D1180">
        <v>0</v>
      </c>
      <c r="E1180">
        <v>4</v>
      </c>
    </row>
    <row r="1181" spans="1:5" x14ac:dyDescent="0.2">
      <c r="A1181" t="s">
        <v>1193</v>
      </c>
      <c r="B1181" t="s">
        <v>15</v>
      </c>
      <c r="C1181">
        <v>0</v>
      </c>
      <c r="D1181">
        <v>1</v>
      </c>
      <c r="E1181">
        <v>4</v>
      </c>
    </row>
    <row r="1182" spans="1:5" x14ac:dyDescent="0.2">
      <c r="A1182" t="s">
        <v>1194</v>
      </c>
      <c r="B1182" t="s">
        <v>61</v>
      </c>
      <c r="C1182">
        <v>1</v>
      </c>
      <c r="D1182">
        <v>1</v>
      </c>
      <c r="E1182">
        <v>20</v>
      </c>
    </row>
    <row r="1183" spans="1:5" x14ac:dyDescent="0.2">
      <c r="A1183" t="s">
        <v>1195</v>
      </c>
      <c r="B1183" t="s">
        <v>53</v>
      </c>
      <c r="C1183">
        <v>1</v>
      </c>
      <c r="D1183">
        <v>1</v>
      </c>
      <c r="E1183">
        <v>20</v>
      </c>
    </row>
    <row r="1184" spans="1:5" x14ac:dyDescent="0.2">
      <c r="A1184" t="s">
        <v>1196</v>
      </c>
      <c r="B1184" t="s">
        <v>46</v>
      </c>
      <c r="C1184">
        <v>1</v>
      </c>
      <c r="D1184">
        <v>1</v>
      </c>
      <c r="E1184">
        <v>70</v>
      </c>
    </row>
    <row r="1185" spans="1:5" x14ac:dyDescent="0.2">
      <c r="A1185" t="s">
        <v>794</v>
      </c>
      <c r="B1185" t="s">
        <v>53</v>
      </c>
      <c r="C1185">
        <v>1</v>
      </c>
      <c r="D1185">
        <v>1</v>
      </c>
      <c r="E1185">
        <v>70</v>
      </c>
    </row>
    <row r="1186" spans="1:5" x14ac:dyDescent="0.2">
      <c r="A1186" t="s">
        <v>1197</v>
      </c>
      <c r="B1186" t="s">
        <v>28</v>
      </c>
      <c r="C1186">
        <v>0</v>
      </c>
      <c r="D1186">
        <v>0</v>
      </c>
      <c r="E1186">
        <v>20</v>
      </c>
    </row>
    <row r="1187" spans="1:5" x14ac:dyDescent="0.2">
      <c r="A1187" t="s">
        <v>1198</v>
      </c>
      <c r="B1187" t="s">
        <v>26</v>
      </c>
      <c r="C1187">
        <v>1</v>
      </c>
      <c r="D1187">
        <v>1</v>
      </c>
      <c r="E1187">
        <v>40</v>
      </c>
    </row>
    <row r="1188" spans="1:5" x14ac:dyDescent="0.2">
      <c r="A1188" t="s">
        <v>1199</v>
      </c>
      <c r="B1188" t="s">
        <v>15</v>
      </c>
      <c r="C1188">
        <v>0</v>
      </c>
      <c r="D1188">
        <v>0</v>
      </c>
      <c r="E1188">
        <v>40</v>
      </c>
    </row>
    <row r="1189" spans="1:5" x14ac:dyDescent="0.2">
      <c r="A1189" t="s">
        <v>1200</v>
      </c>
      <c r="B1189" t="s">
        <v>23</v>
      </c>
      <c r="C1189">
        <v>0</v>
      </c>
      <c r="D1189">
        <v>1</v>
      </c>
      <c r="E1189">
        <v>20</v>
      </c>
    </row>
    <row r="1190" spans="1:5" x14ac:dyDescent="0.2">
      <c r="A1190" t="s">
        <v>1201</v>
      </c>
      <c r="B1190" t="s">
        <v>61</v>
      </c>
      <c r="C1190">
        <v>1</v>
      </c>
      <c r="D1190">
        <v>1</v>
      </c>
      <c r="E1190">
        <v>4</v>
      </c>
    </row>
    <row r="1191" spans="1:5" x14ac:dyDescent="0.2">
      <c r="A1191" t="s">
        <v>1202</v>
      </c>
      <c r="B1191" t="s">
        <v>53</v>
      </c>
      <c r="C1191">
        <v>1</v>
      </c>
      <c r="D1191">
        <v>1</v>
      </c>
      <c r="E1191">
        <v>10</v>
      </c>
    </row>
    <row r="1192" spans="1:5" x14ac:dyDescent="0.2">
      <c r="A1192" t="s">
        <v>1203</v>
      </c>
      <c r="B1192" t="s">
        <v>13</v>
      </c>
      <c r="C1192">
        <v>1</v>
      </c>
      <c r="D1192">
        <v>1</v>
      </c>
      <c r="E1192">
        <v>20</v>
      </c>
    </row>
    <row r="1193" spans="1:5" x14ac:dyDescent="0.2">
      <c r="A1193" t="s">
        <v>1204</v>
      </c>
      <c r="B1193" t="s">
        <v>13</v>
      </c>
      <c r="C1193">
        <v>0</v>
      </c>
      <c r="D1193">
        <v>0</v>
      </c>
      <c r="E1193">
        <v>40</v>
      </c>
    </row>
    <row r="1194" spans="1:5" x14ac:dyDescent="0.2">
      <c r="A1194" t="s">
        <v>1205</v>
      </c>
      <c r="B1194" t="s">
        <v>19</v>
      </c>
      <c r="C1194">
        <v>1</v>
      </c>
      <c r="D1194">
        <v>1</v>
      </c>
      <c r="E1194">
        <v>10</v>
      </c>
    </row>
    <row r="1195" spans="1:5" x14ac:dyDescent="0.2">
      <c r="A1195" t="s">
        <v>1206</v>
      </c>
      <c r="B1195" t="s">
        <v>40</v>
      </c>
      <c r="C1195">
        <v>1</v>
      </c>
      <c r="D1195">
        <v>0</v>
      </c>
      <c r="E1195">
        <v>70</v>
      </c>
    </row>
    <row r="1196" spans="1:5" x14ac:dyDescent="0.2">
      <c r="A1196" t="s">
        <v>1207</v>
      </c>
      <c r="B1196" t="s">
        <v>53</v>
      </c>
      <c r="C1196">
        <v>0</v>
      </c>
      <c r="D1196">
        <v>0</v>
      </c>
      <c r="E1196">
        <v>40</v>
      </c>
    </row>
    <row r="1197" spans="1:5" x14ac:dyDescent="0.2">
      <c r="A1197" t="s">
        <v>1208</v>
      </c>
      <c r="B1197" t="s">
        <v>15</v>
      </c>
      <c r="C1197">
        <v>0</v>
      </c>
      <c r="D1197">
        <v>0</v>
      </c>
      <c r="E1197">
        <v>20</v>
      </c>
    </row>
    <row r="1198" spans="1:5" x14ac:dyDescent="0.2">
      <c r="A1198" t="s">
        <v>1209</v>
      </c>
      <c r="B1198" t="s">
        <v>6</v>
      </c>
      <c r="C1198">
        <v>0</v>
      </c>
      <c r="D1198">
        <v>1</v>
      </c>
      <c r="E1198">
        <v>40</v>
      </c>
    </row>
    <row r="1199" spans="1:5" x14ac:dyDescent="0.2">
      <c r="A1199" t="s">
        <v>1210</v>
      </c>
      <c r="B1199" t="s">
        <v>46</v>
      </c>
      <c r="C1199">
        <v>0</v>
      </c>
      <c r="D1199">
        <v>1</v>
      </c>
      <c r="E1199">
        <v>10</v>
      </c>
    </row>
    <row r="1200" spans="1:5" x14ac:dyDescent="0.2">
      <c r="A1200" t="s">
        <v>1211</v>
      </c>
      <c r="B1200" t="s">
        <v>37</v>
      </c>
      <c r="C1200">
        <v>1</v>
      </c>
      <c r="D1200">
        <v>0</v>
      </c>
      <c r="E1200">
        <v>40</v>
      </c>
    </row>
    <row r="1201" spans="1:5" x14ac:dyDescent="0.2">
      <c r="A1201" t="s">
        <v>1212</v>
      </c>
      <c r="B1201" t="s">
        <v>15</v>
      </c>
      <c r="C1201">
        <v>1</v>
      </c>
      <c r="D1201">
        <v>1</v>
      </c>
      <c r="E1201">
        <v>70</v>
      </c>
    </row>
    <row r="1202" spans="1:5" x14ac:dyDescent="0.2">
      <c r="A1202" t="s">
        <v>1213</v>
      </c>
      <c r="B1202" t="s">
        <v>23</v>
      </c>
      <c r="C1202">
        <v>0</v>
      </c>
      <c r="D1202">
        <v>1</v>
      </c>
      <c r="E1202">
        <v>70</v>
      </c>
    </row>
    <row r="1203" spans="1:5" x14ac:dyDescent="0.2">
      <c r="A1203" t="s">
        <v>1214</v>
      </c>
      <c r="B1203" t="s">
        <v>19</v>
      </c>
      <c r="C1203">
        <v>1</v>
      </c>
      <c r="D1203">
        <v>1</v>
      </c>
      <c r="E1203">
        <v>20</v>
      </c>
    </row>
    <row r="1204" spans="1:5" x14ac:dyDescent="0.2">
      <c r="A1204" t="s">
        <v>1215</v>
      </c>
      <c r="B1204" t="s">
        <v>13</v>
      </c>
      <c r="C1204">
        <v>1</v>
      </c>
      <c r="D1204">
        <v>0</v>
      </c>
      <c r="E1204">
        <v>20</v>
      </c>
    </row>
    <row r="1205" spans="1:5" x14ac:dyDescent="0.2">
      <c r="A1205" t="s">
        <v>1216</v>
      </c>
      <c r="B1205" t="s">
        <v>28</v>
      </c>
      <c r="C1205">
        <v>0</v>
      </c>
      <c r="D1205">
        <v>1</v>
      </c>
      <c r="E1205">
        <v>20</v>
      </c>
    </row>
    <row r="1206" spans="1:5" x14ac:dyDescent="0.2">
      <c r="A1206" t="s">
        <v>1217</v>
      </c>
      <c r="B1206" t="s">
        <v>13</v>
      </c>
      <c r="C1206">
        <v>1</v>
      </c>
      <c r="D1206">
        <v>1</v>
      </c>
      <c r="E1206">
        <v>20</v>
      </c>
    </row>
    <row r="1207" spans="1:5" x14ac:dyDescent="0.2">
      <c r="A1207" t="s">
        <v>1218</v>
      </c>
      <c r="B1207" t="s">
        <v>40</v>
      </c>
      <c r="C1207">
        <v>1</v>
      </c>
      <c r="D1207">
        <v>1</v>
      </c>
      <c r="E1207">
        <v>10</v>
      </c>
    </row>
    <row r="1208" spans="1:5" x14ac:dyDescent="0.2">
      <c r="A1208" t="s">
        <v>1219</v>
      </c>
      <c r="B1208" t="s">
        <v>61</v>
      </c>
      <c r="C1208">
        <v>0</v>
      </c>
      <c r="D1208">
        <v>0</v>
      </c>
      <c r="E1208">
        <v>10</v>
      </c>
    </row>
    <row r="1209" spans="1:5" x14ac:dyDescent="0.2">
      <c r="A1209" t="s">
        <v>1220</v>
      </c>
      <c r="B1209" t="s">
        <v>53</v>
      </c>
      <c r="C1209">
        <v>0</v>
      </c>
      <c r="D1209">
        <v>1</v>
      </c>
      <c r="E1209">
        <v>4</v>
      </c>
    </row>
    <row r="1210" spans="1:5" x14ac:dyDescent="0.2">
      <c r="A1210" t="s">
        <v>1221</v>
      </c>
      <c r="B1210" t="s">
        <v>26</v>
      </c>
      <c r="C1210">
        <v>1</v>
      </c>
      <c r="D1210">
        <v>1</v>
      </c>
      <c r="E1210">
        <v>20</v>
      </c>
    </row>
    <row r="1211" spans="1:5" x14ac:dyDescent="0.2">
      <c r="A1211" t="s">
        <v>1222</v>
      </c>
      <c r="B1211" t="s">
        <v>6</v>
      </c>
      <c r="C1211">
        <v>0</v>
      </c>
      <c r="D1211">
        <v>0</v>
      </c>
      <c r="E1211">
        <v>70</v>
      </c>
    </row>
    <row r="1212" spans="1:5" x14ac:dyDescent="0.2">
      <c r="A1212" t="s">
        <v>1223</v>
      </c>
      <c r="B1212" t="s">
        <v>37</v>
      </c>
      <c r="C1212">
        <v>0</v>
      </c>
      <c r="D1212">
        <v>0</v>
      </c>
      <c r="E1212">
        <v>20</v>
      </c>
    </row>
    <row r="1213" spans="1:5" x14ac:dyDescent="0.2">
      <c r="A1213" t="s">
        <v>1224</v>
      </c>
      <c r="B1213" t="s">
        <v>37</v>
      </c>
      <c r="C1213">
        <v>0</v>
      </c>
      <c r="D1213">
        <v>1</v>
      </c>
      <c r="E1213">
        <v>10</v>
      </c>
    </row>
    <row r="1214" spans="1:5" x14ac:dyDescent="0.2">
      <c r="A1214" t="s">
        <v>1225</v>
      </c>
      <c r="B1214" t="s">
        <v>23</v>
      </c>
      <c r="C1214">
        <v>0</v>
      </c>
      <c r="D1214">
        <v>0</v>
      </c>
      <c r="E1214">
        <v>4</v>
      </c>
    </row>
    <row r="1215" spans="1:5" x14ac:dyDescent="0.2">
      <c r="A1215" t="s">
        <v>1226</v>
      </c>
      <c r="B1215" t="s">
        <v>46</v>
      </c>
      <c r="C1215">
        <v>1</v>
      </c>
      <c r="D1215">
        <v>1</v>
      </c>
      <c r="E1215">
        <v>4</v>
      </c>
    </row>
    <row r="1216" spans="1:5" x14ac:dyDescent="0.2">
      <c r="A1216" t="s">
        <v>1227</v>
      </c>
      <c r="B1216" t="s">
        <v>6</v>
      </c>
      <c r="C1216">
        <v>1</v>
      </c>
      <c r="D1216">
        <v>1</v>
      </c>
      <c r="E1216">
        <v>10</v>
      </c>
    </row>
    <row r="1217" spans="1:5" x14ac:dyDescent="0.2">
      <c r="A1217" t="s">
        <v>1228</v>
      </c>
      <c r="B1217" t="s">
        <v>40</v>
      </c>
      <c r="C1217">
        <v>0</v>
      </c>
      <c r="D1217">
        <v>1</v>
      </c>
      <c r="E1217">
        <v>20</v>
      </c>
    </row>
    <row r="1218" spans="1:5" x14ac:dyDescent="0.2">
      <c r="A1218" t="s">
        <v>1229</v>
      </c>
      <c r="B1218" t="s">
        <v>46</v>
      </c>
      <c r="C1218">
        <v>0</v>
      </c>
      <c r="D1218">
        <v>0</v>
      </c>
      <c r="E1218">
        <v>4</v>
      </c>
    </row>
    <row r="1219" spans="1:5" x14ac:dyDescent="0.2">
      <c r="A1219" t="s">
        <v>1230</v>
      </c>
      <c r="B1219" t="s">
        <v>28</v>
      </c>
      <c r="C1219">
        <v>1</v>
      </c>
      <c r="D1219">
        <v>1</v>
      </c>
      <c r="E1219">
        <v>40</v>
      </c>
    </row>
    <row r="1220" spans="1:5" x14ac:dyDescent="0.2">
      <c r="A1220" t="s">
        <v>1231</v>
      </c>
      <c r="B1220" t="s">
        <v>13</v>
      </c>
      <c r="C1220">
        <v>1</v>
      </c>
      <c r="D1220">
        <v>1</v>
      </c>
      <c r="E1220">
        <v>4</v>
      </c>
    </row>
    <row r="1221" spans="1:5" x14ac:dyDescent="0.2">
      <c r="A1221" t="s">
        <v>1232</v>
      </c>
      <c r="B1221" t="s">
        <v>13</v>
      </c>
      <c r="C1221">
        <v>0</v>
      </c>
      <c r="D1221">
        <v>1</v>
      </c>
      <c r="E1221">
        <v>70</v>
      </c>
    </row>
    <row r="1222" spans="1:5" x14ac:dyDescent="0.2">
      <c r="A1222" t="s">
        <v>1233</v>
      </c>
      <c r="B1222" t="s">
        <v>17</v>
      </c>
      <c r="C1222">
        <v>0</v>
      </c>
      <c r="D1222">
        <v>1</v>
      </c>
      <c r="E1222">
        <v>20</v>
      </c>
    </row>
    <row r="1223" spans="1:5" x14ac:dyDescent="0.2">
      <c r="A1223" t="s">
        <v>1234</v>
      </c>
      <c r="B1223" t="s">
        <v>11</v>
      </c>
      <c r="C1223">
        <v>1</v>
      </c>
      <c r="D1223">
        <v>0</v>
      </c>
      <c r="E1223">
        <v>70</v>
      </c>
    </row>
    <row r="1224" spans="1:5" x14ac:dyDescent="0.2">
      <c r="A1224" t="s">
        <v>1235</v>
      </c>
      <c r="B1224" t="s">
        <v>6</v>
      </c>
      <c r="C1224">
        <v>0</v>
      </c>
      <c r="D1224">
        <v>1</v>
      </c>
      <c r="E1224">
        <v>4</v>
      </c>
    </row>
    <row r="1225" spans="1:5" x14ac:dyDescent="0.2">
      <c r="A1225" t="s">
        <v>1236</v>
      </c>
      <c r="B1225" t="s">
        <v>26</v>
      </c>
      <c r="C1225">
        <v>0</v>
      </c>
      <c r="D1225">
        <v>1</v>
      </c>
      <c r="E1225">
        <v>40</v>
      </c>
    </row>
    <row r="1226" spans="1:5" x14ac:dyDescent="0.2">
      <c r="A1226" t="s">
        <v>1237</v>
      </c>
      <c r="B1226" t="s">
        <v>15</v>
      </c>
      <c r="C1226">
        <v>1</v>
      </c>
      <c r="D1226">
        <v>1</v>
      </c>
      <c r="E1226">
        <v>70</v>
      </c>
    </row>
    <row r="1227" spans="1:5" x14ac:dyDescent="0.2">
      <c r="A1227" t="s">
        <v>1238</v>
      </c>
      <c r="B1227" t="s">
        <v>53</v>
      </c>
      <c r="C1227">
        <v>1</v>
      </c>
      <c r="D1227">
        <v>1</v>
      </c>
      <c r="E1227">
        <v>4</v>
      </c>
    </row>
    <row r="1228" spans="1:5" x14ac:dyDescent="0.2">
      <c r="A1228" t="s">
        <v>1239</v>
      </c>
      <c r="B1228" t="s">
        <v>6</v>
      </c>
      <c r="C1228">
        <v>1</v>
      </c>
      <c r="D1228">
        <v>0</v>
      </c>
      <c r="E1228">
        <v>20</v>
      </c>
    </row>
    <row r="1229" spans="1:5" x14ac:dyDescent="0.2">
      <c r="A1229" t="s">
        <v>1240</v>
      </c>
      <c r="B1229" t="s">
        <v>23</v>
      </c>
      <c r="C1229">
        <v>1</v>
      </c>
      <c r="D1229">
        <v>0</v>
      </c>
      <c r="E1229">
        <v>40</v>
      </c>
    </row>
    <row r="1230" spans="1:5" x14ac:dyDescent="0.2">
      <c r="A1230" t="s">
        <v>1241</v>
      </c>
      <c r="B1230" t="s">
        <v>6</v>
      </c>
      <c r="C1230">
        <v>0</v>
      </c>
      <c r="D1230">
        <v>0</v>
      </c>
      <c r="E1230">
        <v>70</v>
      </c>
    </row>
    <row r="1231" spans="1:5" x14ac:dyDescent="0.2">
      <c r="A1231" t="s">
        <v>1242</v>
      </c>
      <c r="B1231" t="s">
        <v>61</v>
      </c>
      <c r="C1231">
        <v>0</v>
      </c>
      <c r="D1231">
        <v>1</v>
      </c>
      <c r="E1231">
        <v>4</v>
      </c>
    </row>
    <row r="1232" spans="1:5" x14ac:dyDescent="0.2">
      <c r="A1232" t="s">
        <v>1243</v>
      </c>
      <c r="B1232" t="s">
        <v>8</v>
      </c>
      <c r="C1232">
        <v>1</v>
      </c>
      <c r="D1232">
        <v>0</v>
      </c>
      <c r="E1232">
        <v>70</v>
      </c>
    </row>
    <row r="1233" spans="1:5" x14ac:dyDescent="0.2">
      <c r="A1233" t="s">
        <v>1244</v>
      </c>
      <c r="B1233" t="s">
        <v>23</v>
      </c>
      <c r="C1233">
        <v>1</v>
      </c>
      <c r="D1233">
        <v>1</v>
      </c>
      <c r="E1233">
        <v>4</v>
      </c>
    </row>
    <row r="1234" spans="1:5" x14ac:dyDescent="0.2">
      <c r="A1234" t="s">
        <v>1245</v>
      </c>
      <c r="B1234" t="s">
        <v>17</v>
      </c>
      <c r="C1234">
        <v>0</v>
      </c>
      <c r="D1234">
        <v>0</v>
      </c>
      <c r="E1234">
        <v>20</v>
      </c>
    </row>
    <row r="1235" spans="1:5" x14ac:dyDescent="0.2">
      <c r="A1235" t="s">
        <v>1246</v>
      </c>
      <c r="B1235" t="s">
        <v>46</v>
      </c>
      <c r="C1235">
        <v>1</v>
      </c>
      <c r="D1235">
        <v>0</v>
      </c>
      <c r="E1235">
        <v>40</v>
      </c>
    </row>
    <row r="1236" spans="1:5" x14ac:dyDescent="0.2">
      <c r="A1236" t="s">
        <v>1247</v>
      </c>
      <c r="B1236" t="s">
        <v>23</v>
      </c>
      <c r="C1236">
        <v>0</v>
      </c>
      <c r="D1236">
        <v>1</v>
      </c>
      <c r="E1236">
        <v>20</v>
      </c>
    </row>
    <row r="1237" spans="1:5" x14ac:dyDescent="0.2">
      <c r="A1237" t="s">
        <v>1248</v>
      </c>
      <c r="B1237" t="s">
        <v>13</v>
      </c>
      <c r="C1237">
        <v>1</v>
      </c>
      <c r="D1237">
        <v>1</v>
      </c>
      <c r="E1237">
        <v>4</v>
      </c>
    </row>
    <row r="1238" spans="1:5" x14ac:dyDescent="0.2">
      <c r="A1238" t="s">
        <v>1249</v>
      </c>
      <c r="B1238" t="s">
        <v>23</v>
      </c>
      <c r="C1238">
        <v>1</v>
      </c>
      <c r="D1238">
        <v>0</v>
      </c>
      <c r="E1238">
        <v>10</v>
      </c>
    </row>
    <row r="1239" spans="1:5" x14ac:dyDescent="0.2">
      <c r="A1239" t="s">
        <v>1250</v>
      </c>
      <c r="B1239" t="s">
        <v>46</v>
      </c>
      <c r="C1239">
        <v>1</v>
      </c>
      <c r="D1239">
        <v>1</v>
      </c>
      <c r="E1239">
        <v>20</v>
      </c>
    </row>
    <row r="1240" spans="1:5" x14ac:dyDescent="0.2">
      <c r="A1240" t="s">
        <v>1251</v>
      </c>
      <c r="B1240" t="s">
        <v>11</v>
      </c>
      <c r="C1240">
        <v>0</v>
      </c>
      <c r="D1240">
        <v>0</v>
      </c>
      <c r="E1240">
        <v>4</v>
      </c>
    </row>
    <row r="1241" spans="1:5" x14ac:dyDescent="0.2">
      <c r="A1241" t="s">
        <v>1252</v>
      </c>
      <c r="B1241" t="s">
        <v>8</v>
      </c>
      <c r="C1241">
        <v>1</v>
      </c>
      <c r="D1241">
        <v>1</v>
      </c>
      <c r="E1241">
        <v>70</v>
      </c>
    </row>
    <row r="1242" spans="1:5" x14ac:dyDescent="0.2">
      <c r="A1242" t="s">
        <v>1253</v>
      </c>
      <c r="B1242" t="s">
        <v>8</v>
      </c>
      <c r="C1242">
        <v>0</v>
      </c>
      <c r="D1242">
        <v>1</v>
      </c>
      <c r="E1242">
        <v>4</v>
      </c>
    </row>
    <row r="1243" spans="1:5" x14ac:dyDescent="0.2">
      <c r="A1243" t="s">
        <v>1254</v>
      </c>
      <c r="B1243" t="s">
        <v>37</v>
      </c>
      <c r="C1243">
        <v>0</v>
      </c>
      <c r="D1243">
        <v>1</v>
      </c>
      <c r="E1243">
        <v>20</v>
      </c>
    </row>
    <row r="1244" spans="1:5" x14ac:dyDescent="0.2">
      <c r="A1244" t="s">
        <v>1255</v>
      </c>
      <c r="B1244" t="s">
        <v>61</v>
      </c>
      <c r="C1244">
        <v>0</v>
      </c>
      <c r="D1244">
        <v>1</v>
      </c>
      <c r="E1244">
        <v>10</v>
      </c>
    </row>
    <row r="1245" spans="1:5" x14ac:dyDescent="0.2">
      <c r="A1245" t="s">
        <v>1256</v>
      </c>
      <c r="B1245" t="s">
        <v>19</v>
      </c>
      <c r="C1245">
        <v>0</v>
      </c>
      <c r="D1245">
        <v>0</v>
      </c>
      <c r="E1245">
        <v>4</v>
      </c>
    </row>
    <row r="1246" spans="1:5" x14ac:dyDescent="0.2">
      <c r="A1246" t="s">
        <v>1257</v>
      </c>
      <c r="B1246" t="s">
        <v>6</v>
      </c>
      <c r="C1246">
        <v>0</v>
      </c>
      <c r="D1246">
        <v>1</v>
      </c>
      <c r="E1246">
        <v>20</v>
      </c>
    </row>
    <row r="1247" spans="1:5" x14ac:dyDescent="0.2">
      <c r="A1247" t="s">
        <v>1258</v>
      </c>
      <c r="B1247" t="s">
        <v>46</v>
      </c>
      <c r="C1247">
        <v>1</v>
      </c>
      <c r="D1247">
        <v>1</v>
      </c>
      <c r="E1247">
        <v>4</v>
      </c>
    </row>
    <row r="1248" spans="1:5" x14ac:dyDescent="0.2">
      <c r="A1248" t="s">
        <v>1259</v>
      </c>
      <c r="B1248" t="s">
        <v>6</v>
      </c>
      <c r="C1248">
        <v>1</v>
      </c>
      <c r="D1248">
        <v>1</v>
      </c>
      <c r="E1248">
        <v>40</v>
      </c>
    </row>
    <row r="1249" spans="1:5" x14ac:dyDescent="0.2">
      <c r="A1249" t="s">
        <v>1260</v>
      </c>
      <c r="B1249" t="s">
        <v>19</v>
      </c>
      <c r="C1249">
        <v>1</v>
      </c>
      <c r="D1249">
        <v>1</v>
      </c>
      <c r="E1249">
        <v>10</v>
      </c>
    </row>
    <row r="1250" spans="1:5" x14ac:dyDescent="0.2">
      <c r="A1250" t="s">
        <v>1261</v>
      </c>
      <c r="B1250" t="s">
        <v>37</v>
      </c>
      <c r="C1250">
        <v>1</v>
      </c>
      <c r="D1250">
        <v>1</v>
      </c>
      <c r="E1250">
        <v>40</v>
      </c>
    </row>
    <row r="1251" spans="1:5" x14ac:dyDescent="0.2">
      <c r="A1251" t="s">
        <v>1262</v>
      </c>
      <c r="B1251" t="s">
        <v>8</v>
      </c>
      <c r="C1251">
        <v>0</v>
      </c>
      <c r="D1251">
        <v>1</v>
      </c>
      <c r="E1251">
        <v>4</v>
      </c>
    </row>
    <row r="1252" spans="1:5" x14ac:dyDescent="0.2">
      <c r="A1252" t="s">
        <v>1263</v>
      </c>
      <c r="B1252" t="s">
        <v>8</v>
      </c>
      <c r="C1252">
        <v>1</v>
      </c>
      <c r="D1252">
        <v>1</v>
      </c>
      <c r="E1252">
        <v>40</v>
      </c>
    </row>
    <row r="1253" spans="1:5" x14ac:dyDescent="0.2">
      <c r="A1253" t="s">
        <v>1264</v>
      </c>
      <c r="B1253" t="s">
        <v>13</v>
      </c>
      <c r="C1253">
        <v>1</v>
      </c>
      <c r="D1253">
        <v>1</v>
      </c>
      <c r="E1253">
        <v>10</v>
      </c>
    </row>
    <row r="1254" spans="1:5" x14ac:dyDescent="0.2">
      <c r="A1254" t="s">
        <v>1265</v>
      </c>
      <c r="B1254" t="s">
        <v>26</v>
      </c>
      <c r="C1254">
        <v>0</v>
      </c>
      <c r="D1254">
        <v>1</v>
      </c>
      <c r="E1254">
        <v>20</v>
      </c>
    </row>
    <row r="1255" spans="1:5" x14ac:dyDescent="0.2">
      <c r="A1255" t="s">
        <v>1266</v>
      </c>
      <c r="B1255" t="s">
        <v>46</v>
      </c>
      <c r="C1255">
        <v>0</v>
      </c>
      <c r="D1255">
        <v>0</v>
      </c>
      <c r="E1255">
        <v>20</v>
      </c>
    </row>
    <row r="1256" spans="1:5" x14ac:dyDescent="0.2">
      <c r="A1256" t="s">
        <v>1267</v>
      </c>
      <c r="B1256" t="s">
        <v>46</v>
      </c>
      <c r="C1256">
        <v>1</v>
      </c>
      <c r="D1256">
        <v>0</v>
      </c>
      <c r="E1256">
        <v>4</v>
      </c>
    </row>
    <row r="1257" spans="1:5" x14ac:dyDescent="0.2">
      <c r="A1257" t="s">
        <v>1268</v>
      </c>
      <c r="B1257" t="s">
        <v>53</v>
      </c>
      <c r="C1257">
        <v>0</v>
      </c>
      <c r="D1257">
        <v>0</v>
      </c>
      <c r="E1257">
        <v>40</v>
      </c>
    </row>
    <row r="1258" spans="1:5" x14ac:dyDescent="0.2">
      <c r="A1258" t="s">
        <v>1269</v>
      </c>
      <c r="B1258" t="s">
        <v>46</v>
      </c>
      <c r="C1258">
        <v>1</v>
      </c>
      <c r="D1258">
        <v>0</v>
      </c>
      <c r="E1258">
        <v>20</v>
      </c>
    </row>
    <row r="1259" spans="1:5" x14ac:dyDescent="0.2">
      <c r="A1259" t="s">
        <v>1270</v>
      </c>
      <c r="B1259" t="s">
        <v>19</v>
      </c>
      <c r="C1259">
        <v>1</v>
      </c>
      <c r="D1259">
        <v>1</v>
      </c>
      <c r="E1259">
        <v>10</v>
      </c>
    </row>
    <row r="1260" spans="1:5" x14ac:dyDescent="0.2">
      <c r="A1260" t="s">
        <v>1271</v>
      </c>
      <c r="B1260" t="s">
        <v>53</v>
      </c>
      <c r="C1260">
        <v>1</v>
      </c>
      <c r="D1260">
        <v>1</v>
      </c>
      <c r="E1260">
        <v>10</v>
      </c>
    </row>
    <row r="1261" spans="1:5" x14ac:dyDescent="0.2">
      <c r="A1261" t="s">
        <v>1272</v>
      </c>
      <c r="B1261" t="s">
        <v>13</v>
      </c>
      <c r="C1261">
        <v>1</v>
      </c>
      <c r="D1261">
        <v>1</v>
      </c>
      <c r="E1261">
        <v>70</v>
      </c>
    </row>
    <row r="1262" spans="1:5" x14ac:dyDescent="0.2">
      <c r="A1262" t="s">
        <v>1273</v>
      </c>
      <c r="B1262" t="s">
        <v>13</v>
      </c>
      <c r="C1262">
        <v>1</v>
      </c>
      <c r="D1262">
        <v>1</v>
      </c>
      <c r="E1262">
        <v>40</v>
      </c>
    </row>
    <row r="1263" spans="1:5" x14ac:dyDescent="0.2">
      <c r="A1263" t="s">
        <v>1274</v>
      </c>
      <c r="B1263" t="s">
        <v>8</v>
      </c>
      <c r="C1263">
        <v>0</v>
      </c>
      <c r="D1263">
        <v>0</v>
      </c>
      <c r="E1263">
        <v>10</v>
      </c>
    </row>
    <row r="1264" spans="1:5" x14ac:dyDescent="0.2">
      <c r="A1264" t="s">
        <v>1275</v>
      </c>
      <c r="B1264" t="s">
        <v>40</v>
      </c>
      <c r="C1264">
        <v>1</v>
      </c>
      <c r="D1264">
        <v>0</v>
      </c>
      <c r="E1264">
        <v>4</v>
      </c>
    </row>
    <row r="1265" spans="1:5" x14ac:dyDescent="0.2">
      <c r="A1265" t="s">
        <v>1276</v>
      </c>
      <c r="B1265" t="s">
        <v>8</v>
      </c>
      <c r="C1265">
        <v>0</v>
      </c>
      <c r="D1265">
        <v>0</v>
      </c>
      <c r="E1265">
        <v>20</v>
      </c>
    </row>
    <row r="1266" spans="1:5" x14ac:dyDescent="0.2">
      <c r="A1266" t="s">
        <v>1277</v>
      </c>
      <c r="B1266" t="s">
        <v>53</v>
      </c>
      <c r="C1266">
        <v>0</v>
      </c>
      <c r="D1266">
        <v>1</v>
      </c>
      <c r="E1266">
        <v>70</v>
      </c>
    </row>
    <row r="1267" spans="1:5" x14ac:dyDescent="0.2">
      <c r="A1267" t="s">
        <v>1278</v>
      </c>
      <c r="B1267" t="s">
        <v>37</v>
      </c>
      <c r="C1267">
        <v>1</v>
      </c>
      <c r="D1267">
        <v>1</v>
      </c>
      <c r="E1267">
        <v>70</v>
      </c>
    </row>
    <row r="1268" spans="1:5" x14ac:dyDescent="0.2">
      <c r="A1268" t="s">
        <v>1279</v>
      </c>
      <c r="B1268" t="s">
        <v>40</v>
      </c>
      <c r="C1268">
        <v>1</v>
      </c>
      <c r="D1268">
        <v>0</v>
      </c>
      <c r="E1268">
        <v>4</v>
      </c>
    </row>
    <row r="1269" spans="1:5" x14ac:dyDescent="0.2">
      <c r="A1269" t="s">
        <v>1280</v>
      </c>
      <c r="B1269" t="s">
        <v>40</v>
      </c>
      <c r="C1269">
        <v>1</v>
      </c>
      <c r="D1269">
        <v>1</v>
      </c>
      <c r="E1269">
        <v>20</v>
      </c>
    </row>
    <row r="1270" spans="1:5" x14ac:dyDescent="0.2">
      <c r="A1270" t="s">
        <v>1281</v>
      </c>
      <c r="B1270" t="s">
        <v>13</v>
      </c>
      <c r="C1270">
        <v>0</v>
      </c>
      <c r="D1270">
        <v>1</v>
      </c>
      <c r="E1270">
        <v>4</v>
      </c>
    </row>
    <row r="1271" spans="1:5" x14ac:dyDescent="0.2">
      <c r="A1271" t="s">
        <v>1282</v>
      </c>
      <c r="B1271" t="s">
        <v>23</v>
      </c>
      <c r="C1271">
        <v>1</v>
      </c>
      <c r="D1271">
        <v>1</v>
      </c>
      <c r="E1271">
        <v>4</v>
      </c>
    </row>
    <row r="1272" spans="1:5" x14ac:dyDescent="0.2">
      <c r="A1272" t="s">
        <v>1283</v>
      </c>
      <c r="B1272" t="s">
        <v>19</v>
      </c>
      <c r="C1272">
        <v>0</v>
      </c>
      <c r="D1272">
        <v>0</v>
      </c>
      <c r="E1272">
        <v>40</v>
      </c>
    </row>
    <row r="1273" spans="1:5" x14ac:dyDescent="0.2">
      <c r="A1273" t="s">
        <v>1284</v>
      </c>
      <c r="B1273" t="s">
        <v>8</v>
      </c>
      <c r="C1273">
        <v>1</v>
      </c>
      <c r="D1273">
        <v>1</v>
      </c>
      <c r="E1273">
        <v>20</v>
      </c>
    </row>
    <row r="1274" spans="1:5" x14ac:dyDescent="0.2">
      <c r="A1274" t="s">
        <v>1285</v>
      </c>
      <c r="B1274" t="s">
        <v>8</v>
      </c>
      <c r="C1274">
        <v>0</v>
      </c>
      <c r="D1274">
        <v>1</v>
      </c>
      <c r="E1274">
        <v>4</v>
      </c>
    </row>
    <row r="1275" spans="1:5" x14ac:dyDescent="0.2">
      <c r="A1275" t="s">
        <v>1286</v>
      </c>
      <c r="B1275" t="s">
        <v>19</v>
      </c>
      <c r="C1275">
        <v>1</v>
      </c>
      <c r="D1275">
        <v>1</v>
      </c>
      <c r="E1275">
        <v>20</v>
      </c>
    </row>
    <row r="1276" spans="1:5" x14ac:dyDescent="0.2">
      <c r="A1276" t="s">
        <v>1287</v>
      </c>
      <c r="B1276" t="s">
        <v>11</v>
      </c>
      <c r="C1276">
        <v>0</v>
      </c>
      <c r="D1276">
        <v>0</v>
      </c>
      <c r="E1276">
        <v>70</v>
      </c>
    </row>
    <row r="1277" spans="1:5" x14ac:dyDescent="0.2">
      <c r="A1277" t="s">
        <v>1288</v>
      </c>
      <c r="B1277" t="s">
        <v>11</v>
      </c>
      <c r="C1277">
        <v>1</v>
      </c>
      <c r="D1277">
        <v>1</v>
      </c>
      <c r="E1277">
        <v>4</v>
      </c>
    </row>
    <row r="1278" spans="1:5" x14ac:dyDescent="0.2">
      <c r="A1278" t="s">
        <v>1289</v>
      </c>
      <c r="B1278" t="s">
        <v>46</v>
      </c>
      <c r="C1278">
        <v>0</v>
      </c>
      <c r="D1278">
        <v>0</v>
      </c>
      <c r="E1278">
        <v>70</v>
      </c>
    </row>
    <row r="1279" spans="1:5" x14ac:dyDescent="0.2">
      <c r="A1279" t="s">
        <v>1290</v>
      </c>
      <c r="B1279" t="s">
        <v>26</v>
      </c>
      <c r="C1279">
        <v>0</v>
      </c>
      <c r="D1279">
        <v>0</v>
      </c>
      <c r="E1279">
        <v>40</v>
      </c>
    </row>
    <row r="1280" spans="1:5" x14ac:dyDescent="0.2">
      <c r="A1280" t="s">
        <v>1291</v>
      </c>
      <c r="B1280" t="s">
        <v>40</v>
      </c>
      <c r="C1280">
        <v>0</v>
      </c>
      <c r="D1280">
        <v>0</v>
      </c>
      <c r="E1280">
        <v>4</v>
      </c>
    </row>
    <row r="1281" spans="1:5" x14ac:dyDescent="0.2">
      <c r="A1281" t="s">
        <v>1292</v>
      </c>
      <c r="B1281" t="s">
        <v>46</v>
      </c>
      <c r="C1281">
        <v>1</v>
      </c>
      <c r="D1281">
        <v>1</v>
      </c>
      <c r="E1281">
        <v>70</v>
      </c>
    </row>
    <row r="1282" spans="1:5" x14ac:dyDescent="0.2">
      <c r="A1282" t="s">
        <v>1293</v>
      </c>
      <c r="B1282" t="s">
        <v>23</v>
      </c>
      <c r="C1282">
        <v>0</v>
      </c>
      <c r="D1282">
        <v>1</v>
      </c>
      <c r="E1282">
        <v>40</v>
      </c>
    </row>
    <row r="1283" spans="1:5" x14ac:dyDescent="0.2">
      <c r="A1283" t="s">
        <v>1294</v>
      </c>
      <c r="B1283" t="s">
        <v>17</v>
      </c>
      <c r="C1283">
        <v>1</v>
      </c>
      <c r="D1283">
        <v>1</v>
      </c>
      <c r="E1283">
        <v>40</v>
      </c>
    </row>
    <row r="1284" spans="1:5" x14ac:dyDescent="0.2">
      <c r="A1284" t="s">
        <v>1295</v>
      </c>
      <c r="B1284" t="s">
        <v>46</v>
      </c>
      <c r="C1284">
        <v>0</v>
      </c>
      <c r="D1284">
        <v>0</v>
      </c>
      <c r="E1284">
        <v>20</v>
      </c>
    </row>
    <row r="1285" spans="1:5" x14ac:dyDescent="0.2">
      <c r="A1285" t="s">
        <v>1296</v>
      </c>
      <c r="B1285" t="s">
        <v>11</v>
      </c>
      <c r="C1285">
        <v>0</v>
      </c>
      <c r="D1285">
        <v>0</v>
      </c>
      <c r="E1285">
        <v>70</v>
      </c>
    </row>
    <row r="1286" spans="1:5" x14ac:dyDescent="0.2">
      <c r="A1286" t="s">
        <v>1297</v>
      </c>
      <c r="B1286" t="s">
        <v>11</v>
      </c>
      <c r="C1286">
        <v>1</v>
      </c>
      <c r="D1286">
        <v>0</v>
      </c>
      <c r="E1286">
        <v>4</v>
      </c>
    </row>
    <row r="1287" spans="1:5" x14ac:dyDescent="0.2">
      <c r="A1287" t="s">
        <v>1298</v>
      </c>
      <c r="B1287" t="s">
        <v>37</v>
      </c>
      <c r="C1287">
        <v>1</v>
      </c>
      <c r="D1287">
        <v>1</v>
      </c>
      <c r="E1287">
        <v>40</v>
      </c>
    </row>
    <row r="1288" spans="1:5" x14ac:dyDescent="0.2">
      <c r="A1288" t="s">
        <v>1299</v>
      </c>
      <c r="B1288" t="s">
        <v>8</v>
      </c>
      <c r="C1288">
        <v>0</v>
      </c>
      <c r="D1288">
        <v>0</v>
      </c>
      <c r="E1288">
        <v>20</v>
      </c>
    </row>
    <row r="1289" spans="1:5" x14ac:dyDescent="0.2">
      <c r="A1289" t="s">
        <v>1300</v>
      </c>
      <c r="B1289" t="s">
        <v>53</v>
      </c>
      <c r="C1289">
        <v>1</v>
      </c>
      <c r="D1289">
        <v>1</v>
      </c>
      <c r="E1289">
        <v>4</v>
      </c>
    </row>
    <row r="1290" spans="1:5" x14ac:dyDescent="0.2">
      <c r="A1290" t="s">
        <v>1301</v>
      </c>
      <c r="B1290" t="s">
        <v>15</v>
      </c>
      <c r="C1290">
        <v>0</v>
      </c>
      <c r="D1290">
        <v>1</v>
      </c>
      <c r="E1290">
        <v>4</v>
      </c>
    </row>
    <row r="1291" spans="1:5" x14ac:dyDescent="0.2">
      <c r="A1291" t="s">
        <v>1302</v>
      </c>
      <c r="B1291" t="s">
        <v>26</v>
      </c>
      <c r="C1291">
        <v>1</v>
      </c>
      <c r="D1291">
        <v>1</v>
      </c>
      <c r="E1291">
        <v>70</v>
      </c>
    </row>
    <row r="1292" spans="1:5" x14ac:dyDescent="0.2">
      <c r="A1292" t="s">
        <v>1303</v>
      </c>
      <c r="B1292" t="s">
        <v>19</v>
      </c>
      <c r="C1292">
        <v>1</v>
      </c>
      <c r="D1292">
        <v>1</v>
      </c>
      <c r="E1292">
        <v>40</v>
      </c>
    </row>
    <row r="1293" spans="1:5" x14ac:dyDescent="0.2">
      <c r="A1293" t="s">
        <v>1304</v>
      </c>
      <c r="B1293" t="s">
        <v>46</v>
      </c>
      <c r="C1293">
        <v>0</v>
      </c>
      <c r="D1293">
        <v>1</v>
      </c>
      <c r="E1293">
        <v>20</v>
      </c>
    </row>
    <row r="1294" spans="1:5" x14ac:dyDescent="0.2">
      <c r="A1294" t="s">
        <v>1305</v>
      </c>
      <c r="B1294" t="s">
        <v>6</v>
      </c>
      <c r="C1294">
        <v>1</v>
      </c>
      <c r="D1294">
        <v>1</v>
      </c>
      <c r="E1294">
        <v>20</v>
      </c>
    </row>
    <row r="1295" spans="1:5" x14ac:dyDescent="0.2">
      <c r="A1295" t="s">
        <v>1306</v>
      </c>
      <c r="B1295" t="s">
        <v>37</v>
      </c>
      <c r="C1295">
        <v>0</v>
      </c>
      <c r="D1295">
        <v>1</v>
      </c>
      <c r="E1295">
        <v>10</v>
      </c>
    </row>
    <row r="1296" spans="1:5" x14ac:dyDescent="0.2">
      <c r="A1296" t="s">
        <v>1307</v>
      </c>
      <c r="B1296" t="s">
        <v>26</v>
      </c>
      <c r="C1296">
        <v>1</v>
      </c>
      <c r="D1296">
        <v>1</v>
      </c>
      <c r="E1296">
        <v>10</v>
      </c>
    </row>
    <row r="1297" spans="1:5" x14ac:dyDescent="0.2">
      <c r="A1297" t="s">
        <v>1308</v>
      </c>
      <c r="B1297" t="s">
        <v>37</v>
      </c>
      <c r="C1297">
        <v>0</v>
      </c>
      <c r="D1297">
        <v>0</v>
      </c>
      <c r="E1297">
        <v>40</v>
      </c>
    </row>
    <row r="1298" spans="1:5" x14ac:dyDescent="0.2">
      <c r="A1298" t="s">
        <v>1309</v>
      </c>
      <c r="B1298" t="s">
        <v>61</v>
      </c>
      <c r="C1298">
        <v>0</v>
      </c>
      <c r="D1298">
        <v>1</v>
      </c>
      <c r="E1298">
        <v>4</v>
      </c>
    </row>
    <row r="1299" spans="1:5" x14ac:dyDescent="0.2">
      <c r="A1299" t="s">
        <v>1310</v>
      </c>
      <c r="B1299" t="s">
        <v>11</v>
      </c>
      <c r="C1299">
        <v>1</v>
      </c>
      <c r="D1299">
        <v>0</v>
      </c>
      <c r="E1299">
        <v>70</v>
      </c>
    </row>
    <row r="1300" spans="1:5" x14ac:dyDescent="0.2">
      <c r="A1300" t="s">
        <v>1311</v>
      </c>
      <c r="B1300" t="s">
        <v>13</v>
      </c>
      <c r="C1300">
        <v>0</v>
      </c>
      <c r="D1300">
        <v>0</v>
      </c>
      <c r="E1300">
        <v>20</v>
      </c>
    </row>
    <row r="1301" spans="1:5" x14ac:dyDescent="0.2">
      <c r="A1301" t="s">
        <v>1312</v>
      </c>
      <c r="B1301" t="s">
        <v>40</v>
      </c>
      <c r="C1301">
        <v>1</v>
      </c>
      <c r="D1301">
        <v>1</v>
      </c>
      <c r="E1301">
        <v>20</v>
      </c>
    </row>
    <row r="1302" spans="1:5" x14ac:dyDescent="0.2">
      <c r="A1302" t="s">
        <v>1313</v>
      </c>
      <c r="B1302" t="s">
        <v>26</v>
      </c>
      <c r="C1302">
        <v>0</v>
      </c>
      <c r="D1302">
        <v>1</v>
      </c>
      <c r="E1302">
        <v>40</v>
      </c>
    </row>
    <row r="1303" spans="1:5" x14ac:dyDescent="0.2">
      <c r="A1303" t="s">
        <v>1314</v>
      </c>
      <c r="B1303" t="s">
        <v>23</v>
      </c>
      <c r="C1303">
        <v>1</v>
      </c>
      <c r="D1303">
        <v>1</v>
      </c>
      <c r="E1303">
        <v>70</v>
      </c>
    </row>
    <row r="1304" spans="1:5" x14ac:dyDescent="0.2">
      <c r="A1304" t="s">
        <v>1315</v>
      </c>
      <c r="B1304" t="s">
        <v>61</v>
      </c>
      <c r="C1304">
        <v>0</v>
      </c>
      <c r="D1304">
        <v>1</v>
      </c>
      <c r="E1304">
        <v>10</v>
      </c>
    </row>
    <row r="1305" spans="1:5" x14ac:dyDescent="0.2">
      <c r="A1305" t="s">
        <v>1316</v>
      </c>
      <c r="B1305" t="s">
        <v>26</v>
      </c>
      <c r="C1305">
        <v>0</v>
      </c>
      <c r="D1305">
        <v>0</v>
      </c>
      <c r="E1305">
        <v>20</v>
      </c>
    </row>
    <row r="1306" spans="1:5" x14ac:dyDescent="0.2">
      <c r="A1306" t="s">
        <v>1317</v>
      </c>
      <c r="B1306" t="s">
        <v>28</v>
      </c>
      <c r="C1306">
        <v>1</v>
      </c>
      <c r="D1306">
        <v>1</v>
      </c>
      <c r="E1306">
        <v>4</v>
      </c>
    </row>
    <row r="1307" spans="1:5" x14ac:dyDescent="0.2">
      <c r="A1307" t="s">
        <v>1318</v>
      </c>
      <c r="B1307" t="s">
        <v>46</v>
      </c>
      <c r="C1307">
        <v>0</v>
      </c>
      <c r="D1307">
        <v>1</v>
      </c>
      <c r="E1307">
        <v>10</v>
      </c>
    </row>
    <row r="1308" spans="1:5" x14ac:dyDescent="0.2">
      <c r="A1308" t="s">
        <v>1319</v>
      </c>
      <c r="B1308" t="s">
        <v>19</v>
      </c>
      <c r="C1308">
        <v>0</v>
      </c>
      <c r="D1308">
        <v>0</v>
      </c>
      <c r="E1308">
        <v>40</v>
      </c>
    </row>
    <row r="1309" spans="1:5" x14ac:dyDescent="0.2">
      <c r="A1309" t="s">
        <v>1320</v>
      </c>
      <c r="B1309" t="s">
        <v>6</v>
      </c>
      <c r="C1309">
        <v>1</v>
      </c>
      <c r="D1309">
        <v>1</v>
      </c>
      <c r="E1309">
        <v>4</v>
      </c>
    </row>
    <row r="1310" spans="1:5" x14ac:dyDescent="0.2">
      <c r="A1310" t="s">
        <v>1321</v>
      </c>
      <c r="B1310" t="s">
        <v>15</v>
      </c>
      <c r="C1310">
        <v>1</v>
      </c>
      <c r="D1310">
        <v>0</v>
      </c>
      <c r="E1310">
        <v>4</v>
      </c>
    </row>
    <row r="1311" spans="1:5" x14ac:dyDescent="0.2">
      <c r="A1311" t="s">
        <v>1322</v>
      </c>
      <c r="B1311" t="s">
        <v>53</v>
      </c>
      <c r="C1311">
        <v>1</v>
      </c>
      <c r="D1311">
        <v>1</v>
      </c>
      <c r="E1311">
        <v>20</v>
      </c>
    </row>
    <row r="1312" spans="1:5" x14ac:dyDescent="0.2">
      <c r="A1312" t="s">
        <v>1323</v>
      </c>
      <c r="B1312" t="s">
        <v>8</v>
      </c>
      <c r="C1312">
        <v>1</v>
      </c>
      <c r="D1312">
        <v>1</v>
      </c>
      <c r="E1312">
        <v>40</v>
      </c>
    </row>
    <row r="1313" spans="1:5" x14ac:dyDescent="0.2">
      <c r="A1313" t="s">
        <v>1324</v>
      </c>
      <c r="B1313" t="s">
        <v>13</v>
      </c>
      <c r="C1313">
        <v>0</v>
      </c>
      <c r="D1313">
        <v>0</v>
      </c>
      <c r="E1313">
        <v>10</v>
      </c>
    </row>
    <row r="1314" spans="1:5" x14ac:dyDescent="0.2">
      <c r="A1314" t="s">
        <v>1325</v>
      </c>
      <c r="B1314" t="s">
        <v>46</v>
      </c>
      <c r="C1314">
        <v>0</v>
      </c>
      <c r="D1314">
        <v>0</v>
      </c>
      <c r="E1314">
        <v>70</v>
      </c>
    </row>
    <row r="1315" spans="1:5" x14ac:dyDescent="0.2">
      <c r="A1315" t="s">
        <v>1326</v>
      </c>
      <c r="B1315" t="s">
        <v>40</v>
      </c>
      <c r="C1315">
        <v>1</v>
      </c>
      <c r="D1315">
        <v>0</v>
      </c>
      <c r="E1315">
        <v>20</v>
      </c>
    </row>
    <row r="1316" spans="1:5" x14ac:dyDescent="0.2">
      <c r="A1316" t="s">
        <v>1327</v>
      </c>
      <c r="B1316" t="s">
        <v>15</v>
      </c>
      <c r="C1316">
        <v>1</v>
      </c>
      <c r="D1316">
        <v>1</v>
      </c>
      <c r="E1316">
        <v>4</v>
      </c>
    </row>
    <row r="1317" spans="1:5" x14ac:dyDescent="0.2">
      <c r="A1317" t="s">
        <v>1328</v>
      </c>
      <c r="B1317" t="s">
        <v>13</v>
      </c>
      <c r="C1317">
        <v>1</v>
      </c>
      <c r="D1317">
        <v>1</v>
      </c>
      <c r="E1317">
        <v>20</v>
      </c>
    </row>
    <row r="1318" spans="1:5" x14ac:dyDescent="0.2">
      <c r="A1318" t="s">
        <v>1329</v>
      </c>
      <c r="B1318" t="s">
        <v>26</v>
      </c>
      <c r="C1318">
        <v>1</v>
      </c>
      <c r="D1318">
        <v>1</v>
      </c>
      <c r="E1318">
        <v>70</v>
      </c>
    </row>
    <row r="1319" spans="1:5" x14ac:dyDescent="0.2">
      <c r="A1319" t="s">
        <v>1330</v>
      </c>
      <c r="B1319" t="s">
        <v>40</v>
      </c>
      <c r="C1319">
        <v>0</v>
      </c>
      <c r="D1319">
        <v>1</v>
      </c>
      <c r="E1319">
        <v>20</v>
      </c>
    </row>
    <row r="1320" spans="1:5" x14ac:dyDescent="0.2">
      <c r="A1320" t="s">
        <v>1331</v>
      </c>
      <c r="B1320" t="s">
        <v>8</v>
      </c>
      <c r="C1320">
        <v>0</v>
      </c>
      <c r="D1320">
        <v>0</v>
      </c>
      <c r="E1320">
        <v>20</v>
      </c>
    </row>
    <row r="1321" spans="1:5" x14ac:dyDescent="0.2">
      <c r="A1321" t="s">
        <v>1332</v>
      </c>
      <c r="B1321" t="s">
        <v>61</v>
      </c>
      <c r="C1321">
        <v>1</v>
      </c>
      <c r="D1321">
        <v>1</v>
      </c>
      <c r="E1321">
        <v>20</v>
      </c>
    </row>
    <row r="1322" spans="1:5" x14ac:dyDescent="0.2">
      <c r="A1322" t="s">
        <v>1333</v>
      </c>
      <c r="B1322" t="s">
        <v>19</v>
      </c>
      <c r="C1322">
        <v>1</v>
      </c>
      <c r="D1322">
        <v>1</v>
      </c>
      <c r="E1322">
        <v>70</v>
      </c>
    </row>
    <row r="1323" spans="1:5" x14ac:dyDescent="0.2">
      <c r="A1323" t="s">
        <v>1334</v>
      </c>
      <c r="B1323" t="s">
        <v>37</v>
      </c>
      <c r="C1323">
        <v>0</v>
      </c>
      <c r="D1323">
        <v>1</v>
      </c>
      <c r="E1323">
        <v>40</v>
      </c>
    </row>
    <row r="1324" spans="1:5" x14ac:dyDescent="0.2">
      <c r="A1324" t="s">
        <v>1335</v>
      </c>
      <c r="B1324" t="s">
        <v>11</v>
      </c>
      <c r="C1324">
        <v>1</v>
      </c>
      <c r="D1324">
        <v>1</v>
      </c>
      <c r="E1324">
        <v>4</v>
      </c>
    </row>
    <row r="1325" spans="1:5" x14ac:dyDescent="0.2">
      <c r="A1325" t="s">
        <v>1336</v>
      </c>
      <c r="B1325" t="s">
        <v>23</v>
      </c>
      <c r="C1325">
        <v>1</v>
      </c>
      <c r="D1325">
        <v>1</v>
      </c>
      <c r="E1325">
        <v>10</v>
      </c>
    </row>
    <row r="1326" spans="1:5" x14ac:dyDescent="0.2">
      <c r="A1326" t="s">
        <v>1337</v>
      </c>
      <c r="B1326" t="s">
        <v>6</v>
      </c>
      <c r="C1326">
        <v>1</v>
      </c>
      <c r="D1326">
        <v>1</v>
      </c>
      <c r="E1326">
        <v>10</v>
      </c>
    </row>
    <row r="1327" spans="1:5" x14ac:dyDescent="0.2">
      <c r="A1327" t="s">
        <v>1338</v>
      </c>
      <c r="B1327" t="s">
        <v>8</v>
      </c>
      <c r="C1327">
        <v>0</v>
      </c>
      <c r="D1327">
        <v>0</v>
      </c>
      <c r="E1327">
        <v>10</v>
      </c>
    </row>
    <row r="1328" spans="1:5" x14ac:dyDescent="0.2">
      <c r="A1328" t="s">
        <v>1339</v>
      </c>
      <c r="B1328" t="s">
        <v>28</v>
      </c>
      <c r="C1328">
        <v>1</v>
      </c>
      <c r="D1328">
        <v>1</v>
      </c>
      <c r="E1328">
        <v>40</v>
      </c>
    </row>
    <row r="1329" spans="1:5" x14ac:dyDescent="0.2">
      <c r="A1329" t="s">
        <v>1340</v>
      </c>
      <c r="B1329" t="s">
        <v>53</v>
      </c>
      <c r="C1329">
        <v>0</v>
      </c>
      <c r="D1329">
        <v>1</v>
      </c>
      <c r="E1329">
        <v>10</v>
      </c>
    </row>
    <row r="1330" spans="1:5" x14ac:dyDescent="0.2">
      <c r="A1330" t="s">
        <v>1341</v>
      </c>
      <c r="B1330" t="s">
        <v>8</v>
      </c>
      <c r="C1330">
        <v>0</v>
      </c>
      <c r="D1330">
        <v>1</v>
      </c>
      <c r="E1330">
        <v>4</v>
      </c>
    </row>
    <row r="1331" spans="1:5" x14ac:dyDescent="0.2">
      <c r="A1331" t="s">
        <v>1342</v>
      </c>
      <c r="B1331" t="s">
        <v>28</v>
      </c>
      <c r="C1331">
        <v>1</v>
      </c>
      <c r="D1331">
        <v>1</v>
      </c>
      <c r="E1331">
        <v>70</v>
      </c>
    </row>
    <row r="1332" spans="1:5" x14ac:dyDescent="0.2">
      <c r="A1332" t="s">
        <v>1343</v>
      </c>
      <c r="B1332" t="s">
        <v>8</v>
      </c>
      <c r="C1332">
        <v>0</v>
      </c>
      <c r="D1332">
        <v>1</v>
      </c>
      <c r="E1332">
        <v>20</v>
      </c>
    </row>
    <row r="1333" spans="1:5" x14ac:dyDescent="0.2">
      <c r="A1333" t="s">
        <v>1344</v>
      </c>
      <c r="B1333" t="s">
        <v>11</v>
      </c>
      <c r="C1333">
        <v>1</v>
      </c>
      <c r="D1333">
        <v>1</v>
      </c>
      <c r="E1333">
        <v>40</v>
      </c>
    </row>
    <row r="1334" spans="1:5" x14ac:dyDescent="0.2">
      <c r="A1334" t="s">
        <v>1345</v>
      </c>
      <c r="B1334" t="s">
        <v>37</v>
      </c>
      <c r="C1334">
        <v>1</v>
      </c>
      <c r="D1334">
        <v>1</v>
      </c>
      <c r="E1334">
        <v>10</v>
      </c>
    </row>
    <row r="1335" spans="1:5" x14ac:dyDescent="0.2">
      <c r="A1335" t="s">
        <v>1346</v>
      </c>
      <c r="B1335" t="s">
        <v>46</v>
      </c>
      <c r="C1335">
        <v>1</v>
      </c>
      <c r="D1335">
        <v>0</v>
      </c>
      <c r="E1335">
        <v>70</v>
      </c>
    </row>
    <row r="1336" spans="1:5" x14ac:dyDescent="0.2">
      <c r="A1336" t="s">
        <v>1347</v>
      </c>
      <c r="B1336" t="s">
        <v>40</v>
      </c>
      <c r="C1336">
        <v>0</v>
      </c>
      <c r="D1336">
        <v>0</v>
      </c>
      <c r="E1336">
        <v>70</v>
      </c>
    </row>
    <row r="1337" spans="1:5" x14ac:dyDescent="0.2">
      <c r="A1337" t="s">
        <v>1348</v>
      </c>
      <c r="B1337" t="s">
        <v>19</v>
      </c>
      <c r="C1337">
        <v>1</v>
      </c>
      <c r="D1337">
        <v>0</v>
      </c>
      <c r="E1337">
        <v>20</v>
      </c>
    </row>
    <row r="1338" spans="1:5" x14ac:dyDescent="0.2">
      <c r="A1338" t="s">
        <v>1349</v>
      </c>
      <c r="B1338" t="s">
        <v>17</v>
      </c>
      <c r="C1338">
        <v>0</v>
      </c>
      <c r="D1338">
        <v>0</v>
      </c>
      <c r="E1338">
        <v>70</v>
      </c>
    </row>
    <row r="1339" spans="1:5" x14ac:dyDescent="0.2">
      <c r="A1339" t="s">
        <v>1350</v>
      </c>
      <c r="B1339" t="s">
        <v>61</v>
      </c>
      <c r="C1339">
        <v>0</v>
      </c>
      <c r="D1339">
        <v>1</v>
      </c>
      <c r="E1339">
        <v>70</v>
      </c>
    </row>
    <row r="1340" spans="1:5" x14ac:dyDescent="0.2">
      <c r="A1340" t="s">
        <v>1351</v>
      </c>
      <c r="B1340" t="s">
        <v>40</v>
      </c>
      <c r="C1340">
        <v>0</v>
      </c>
      <c r="D1340">
        <v>1</v>
      </c>
      <c r="E1340">
        <v>40</v>
      </c>
    </row>
    <row r="1341" spans="1:5" x14ac:dyDescent="0.2">
      <c r="A1341" t="s">
        <v>1352</v>
      </c>
      <c r="B1341" t="s">
        <v>37</v>
      </c>
      <c r="C1341">
        <v>1</v>
      </c>
      <c r="D1341">
        <v>1</v>
      </c>
      <c r="E1341">
        <v>10</v>
      </c>
    </row>
    <row r="1342" spans="1:5" x14ac:dyDescent="0.2">
      <c r="A1342" t="s">
        <v>1353</v>
      </c>
      <c r="B1342" t="s">
        <v>61</v>
      </c>
      <c r="C1342">
        <v>0</v>
      </c>
      <c r="D1342">
        <v>0</v>
      </c>
      <c r="E1342">
        <v>70</v>
      </c>
    </row>
    <row r="1343" spans="1:5" x14ac:dyDescent="0.2">
      <c r="A1343" t="s">
        <v>1354</v>
      </c>
      <c r="B1343" t="s">
        <v>53</v>
      </c>
      <c r="C1343">
        <v>0</v>
      </c>
      <c r="D1343">
        <v>1</v>
      </c>
      <c r="E1343">
        <v>40</v>
      </c>
    </row>
    <row r="1344" spans="1:5" x14ac:dyDescent="0.2">
      <c r="A1344" t="s">
        <v>1355</v>
      </c>
      <c r="B1344" t="s">
        <v>15</v>
      </c>
      <c r="C1344">
        <v>0</v>
      </c>
      <c r="D1344">
        <v>0</v>
      </c>
      <c r="E1344">
        <v>10</v>
      </c>
    </row>
    <row r="1345" spans="1:5" x14ac:dyDescent="0.2">
      <c r="A1345" t="s">
        <v>1356</v>
      </c>
      <c r="B1345" t="s">
        <v>11</v>
      </c>
      <c r="C1345">
        <v>0</v>
      </c>
      <c r="D1345">
        <v>0</v>
      </c>
      <c r="E1345">
        <v>40</v>
      </c>
    </row>
    <row r="1346" spans="1:5" x14ac:dyDescent="0.2">
      <c r="A1346" t="s">
        <v>1357</v>
      </c>
      <c r="B1346" t="s">
        <v>61</v>
      </c>
      <c r="C1346">
        <v>0</v>
      </c>
      <c r="D1346">
        <v>1</v>
      </c>
      <c r="E1346">
        <v>20</v>
      </c>
    </row>
    <row r="1347" spans="1:5" x14ac:dyDescent="0.2">
      <c r="A1347" t="s">
        <v>1358</v>
      </c>
      <c r="B1347" t="s">
        <v>40</v>
      </c>
      <c r="C1347">
        <v>1</v>
      </c>
      <c r="D1347">
        <v>1</v>
      </c>
      <c r="E1347">
        <v>70</v>
      </c>
    </row>
    <row r="1348" spans="1:5" x14ac:dyDescent="0.2">
      <c r="A1348" t="s">
        <v>1359</v>
      </c>
      <c r="B1348" t="s">
        <v>17</v>
      </c>
      <c r="C1348">
        <v>1</v>
      </c>
      <c r="D1348">
        <v>1</v>
      </c>
      <c r="E1348">
        <v>4</v>
      </c>
    </row>
    <row r="1349" spans="1:5" x14ac:dyDescent="0.2">
      <c r="A1349" t="s">
        <v>1360</v>
      </c>
      <c r="B1349" t="s">
        <v>8</v>
      </c>
      <c r="C1349">
        <v>1</v>
      </c>
      <c r="D1349">
        <v>1</v>
      </c>
      <c r="E1349">
        <v>40</v>
      </c>
    </row>
    <row r="1350" spans="1:5" x14ac:dyDescent="0.2">
      <c r="A1350" t="s">
        <v>1361</v>
      </c>
      <c r="B1350" t="s">
        <v>23</v>
      </c>
      <c r="C1350">
        <v>0</v>
      </c>
      <c r="D1350">
        <v>1</v>
      </c>
      <c r="E1350">
        <v>4</v>
      </c>
    </row>
    <row r="1351" spans="1:5" x14ac:dyDescent="0.2">
      <c r="A1351" t="s">
        <v>1362</v>
      </c>
      <c r="B1351" t="s">
        <v>28</v>
      </c>
      <c r="C1351">
        <v>0</v>
      </c>
      <c r="D1351">
        <v>0</v>
      </c>
      <c r="E1351">
        <v>20</v>
      </c>
    </row>
    <row r="1352" spans="1:5" x14ac:dyDescent="0.2">
      <c r="A1352" t="s">
        <v>1363</v>
      </c>
      <c r="B1352" t="s">
        <v>13</v>
      </c>
      <c r="C1352">
        <v>1</v>
      </c>
      <c r="D1352">
        <v>1</v>
      </c>
      <c r="E1352">
        <v>4</v>
      </c>
    </row>
    <row r="1353" spans="1:5" x14ac:dyDescent="0.2">
      <c r="A1353" t="s">
        <v>1364</v>
      </c>
      <c r="B1353" t="s">
        <v>17</v>
      </c>
      <c r="C1353">
        <v>1</v>
      </c>
      <c r="D1353">
        <v>1</v>
      </c>
      <c r="E1353">
        <v>4</v>
      </c>
    </row>
    <row r="1354" spans="1:5" x14ac:dyDescent="0.2">
      <c r="A1354" t="s">
        <v>1365</v>
      </c>
      <c r="B1354" t="s">
        <v>28</v>
      </c>
      <c r="C1354">
        <v>0</v>
      </c>
      <c r="D1354">
        <v>0</v>
      </c>
      <c r="E1354">
        <v>10</v>
      </c>
    </row>
    <row r="1355" spans="1:5" x14ac:dyDescent="0.2">
      <c r="A1355" t="s">
        <v>1366</v>
      </c>
      <c r="B1355" t="s">
        <v>17</v>
      </c>
      <c r="C1355">
        <v>1</v>
      </c>
      <c r="D1355">
        <v>0</v>
      </c>
      <c r="E1355">
        <v>70</v>
      </c>
    </row>
    <row r="1356" spans="1:5" x14ac:dyDescent="0.2">
      <c r="A1356" t="s">
        <v>1367</v>
      </c>
      <c r="B1356" t="s">
        <v>23</v>
      </c>
      <c r="C1356">
        <v>0</v>
      </c>
      <c r="D1356">
        <v>0</v>
      </c>
      <c r="E1356">
        <v>10</v>
      </c>
    </row>
    <row r="1357" spans="1:5" x14ac:dyDescent="0.2">
      <c r="A1357" t="s">
        <v>1368</v>
      </c>
      <c r="B1357" t="s">
        <v>11</v>
      </c>
      <c r="C1357">
        <v>0</v>
      </c>
      <c r="D1357">
        <v>0</v>
      </c>
      <c r="E1357">
        <v>10</v>
      </c>
    </row>
    <row r="1358" spans="1:5" x14ac:dyDescent="0.2">
      <c r="A1358" t="s">
        <v>1369</v>
      </c>
      <c r="B1358" t="s">
        <v>26</v>
      </c>
      <c r="C1358">
        <v>1</v>
      </c>
      <c r="D1358">
        <v>1</v>
      </c>
      <c r="E1358">
        <v>20</v>
      </c>
    </row>
    <row r="1359" spans="1:5" x14ac:dyDescent="0.2">
      <c r="A1359" t="s">
        <v>1370</v>
      </c>
      <c r="B1359" t="s">
        <v>23</v>
      </c>
      <c r="C1359">
        <v>1</v>
      </c>
      <c r="D1359">
        <v>0</v>
      </c>
      <c r="E1359">
        <v>70</v>
      </c>
    </row>
    <row r="1360" spans="1:5" x14ac:dyDescent="0.2">
      <c r="A1360" t="s">
        <v>1371</v>
      </c>
      <c r="B1360" t="s">
        <v>40</v>
      </c>
      <c r="C1360">
        <v>0</v>
      </c>
      <c r="D1360">
        <v>1</v>
      </c>
      <c r="E1360">
        <v>20</v>
      </c>
    </row>
    <row r="1361" spans="1:5" x14ac:dyDescent="0.2">
      <c r="A1361" t="s">
        <v>1372</v>
      </c>
      <c r="B1361" t="s">
        <v>6</v>
      </c>
      <c r="C1361">
        <v>1</v>
      </c>
      <c r="D1361">
        <v>1</v>
      </c>
      <c r="E1361">
        <v>40</v>
      </c>
    </row>
    <row r="1362" spans="1:5" x14ac:dyDescent="0.2">
      <c r="A1362" t="s">
        <v>1373</v>
      </c>
      <c r="B1362" t="s">
        <v>53</v>
      </c>
      <c r="C1362">
        <v>1</v>
      </c>
      <c r="D1362">
        <v>0</v>
      </c>
      <c r="E1362">
        <v>20</v>
      </c>
    </row>
    <row r="1363" spans="1:5" x14ac:dyDescent="0.2">
      <c r="A1363" t="s">
        <v>1374</v>
      </c>
      <c r="B1363" t="s">
        <v>13</v>
      </c>
      <c r="C1363">
        <v>0</v>
      </c>
      <c r="D1363">
        <v>0</v>
      </c>
      <c r="E1363">
        <v>20</v>
      </c>
    </row>
    <row r="1364" spans="1:5" x14ac:dyDescent="0.2">
      <c r="A1364" t="s">
        <v>1375</v>
      </c>
      <c r="B1364" t="s">
        <v>19</v>
      </c>
      <c r="C1364">
        <v>1</v>
      </c>
      <c r="D1364">
        <v>1</v>
      </c>
      <c r="E1364">
        <v>70</v>
      </c>
    </row>
    <row r="1365" spans="1:5" x14ac:dyDescent="0.2">
      <c r="A1365" t="s">
        <v>1376</v>
      </c>
      <c r="B1365" t="s">
        <v>28</v>
      </c>
      <c r="C1365">
        <v>1</v>
      </c>
      <c r="D1365">
        <v>0</v>
      </c>
      <c r="E1365">
        <v>20</v>
      </c>
    </row>
    <row r="1366" spans="1:5" x14ac:dyDescent="0.2">
      <c r="A1366" t="s">
        <v>1377</v>
      </c>
      <c r="B1366" t="s">
        <v>15</v>
      </c>
      <c r="C1366">
        <v>0</v>
      </c>
      <c r="D1366">
        <v>0</v>
      </c>
      <c r="E1366">
        <v>10</v>
      </c>
    </row>
    <row r="1367" spans="1:5" x14ac:dyDescent="0.2">
      <c r="A1367" t="s">
        <v>1378</v>
      </c>
      <c r="B1367" t="s">
        <v>46</v>
      </c>
      <c r="C1367">
        <v>0</v>
      </c>
      <c r="D1367">
        <v>1</v>
      </c>
      <c r="E1367">
        <v>4</v>
      </c>
    </row>
    <row r="1368" spans="1:5" x14ac:dyDescent="0.2">
      <c r="A1368" t="s">
        <v>1379</v>
      </c>
      <c r="B1368" t="s">
        <v>26</v>
      </c>
      <c r="C1368">
        <v>0</v>
      </c>
      <c r="D1368">
        <v>1</v>
      </c>
      <c r="E1368">
        <v>4</v>
      </c>
    </row>
    <row r="1369" spans="1:5" x14ac:dyDescent="0.2">
      <c r="A1369" t="s">
        <v>1380</v>
      </c>
      <c r="B1369" t="s">
        <v>61</v>
      </c>
      <c r="C1369">
        <v>1</v>
      </c>
      <c r="D1369">
        <v>1</v>
      </c>
      <c r="E1369">
        <v>70</v>
      </c>
    </row>
    <row r="1370" spans="1:5" x14ac:dyDescent="0.2">
      <c r="A1370" t="s">
        <v>1381</v>
      </c>
      <c r="B1370" t="s">
        <v>28</v>
      </c>
      <c r="C1370">
        <v>1</v>
      </c>
      <c r="D1370">
        <v>1</v>
      </c>
      <c r="E1370">
        <v>10</v>
      </c>
    </row>
    <row r="1371" spans="1:5" x14ac:dyDescent="0.2">
      <c r="A1371" t="s">
        <v>1382</v>
      </c>
      <c r="B1371" t="s">
        <v>40</v>
      </c>
      <c r="C1371">
        <v>1</v>
      </c>
      <c r="D1371">
        <v>1</v>
      </c>
      <c r="E1371">
        <v>4</v>
      </c>
    </row>
    <row r="1372" spans="1:5" x14ac:dyDescent="0.2">
      <c r="A1372" t="s">
        <v>1383</v>
      </c>
      <c r="B1372" t="s">
        <v>61</v>
      </c>
      <c r="C1372">
        <v>0</v>
      </c>
      <c r="D1372">
        <v>1</v>
      </c>
      <c r="E1372">
        <v>40</v>
      </c>
    </row>
    <row r="1373" spans="1:5" x14ac:dyDescent="0.2">
      <c r="A1373" t="s">
        <v>1384</v>
      </c>
      <c r="B1373" t="s">
        <v>28</v>
      </c>
      <c r="C1373">
        <v>1</v>
      </c>
      <c r="D1373">
        <v>1</v>
      </c>
      <c r="E1373">
        <v>10</v>
      </c>
    </row>
    <row r="1374" spans="1:5" x14ac:dyDescent="0.2">
      <c r="A1374" t="s">
        <v>1385</v>
      </c>
      <c r="B1374" t="s">
        <v>8</v>
      </c>
      <c r="C1374">
        <v>0</v>
      </c>
      <c r="D1374">
        <v>0</v>
      </c>
      <c r="E1374">
        <v>40</v>
      </c>
    </row>
    <row r="1375" spans="1:5" x14ac:dyDescent="0.2">
      <c r="A1375" t="s">
        <v>1386</v>
      </c>
      <c r="B1375" t="s">
        <v>23</v>
      </c>
      <c r="C1375">
        <v>1</v>
      </c>
      <c r="D1375">
        <v>1</v>
      </c>
      <c r="E1375">
        <v>4</v>
      </c>
    </row>
    <row r="1376" spans="1:5" x14ac:dyDescent="0.2">
      <c r="A1376" t="s">
        <v>1387</v>
      </c>
      <c r="B1376" t="s">
        <v>13</v>
      </c>
      <c r="C1376">
        <v>0</v>
      </c>
      <c r="D1376">
        <v>0</v>
      </c>
      <c r="E1376">
        <v>70</v>
      </c>
    </row>
    <row r="1377" spans="1:5" x14ac:dyDescent="0.2">
      <c r="A1377" t="s">
        <v>1388</v>
      </c>
      <c r="B1377" t="s">
        <v>17</v>
      </c>
      <c r="C1377">
        <v>0</v>
      </c>
      <c r="D1377">
        <v>1</v>
      </c>
      <c r="E1377">
        <v>10</v>
      </c>
    </row>
    <row r="1378" spans="1:5" x14ac:dyDescent="0.2">
      <c r="A1378" t="s">
        <v>1389</v>
      </c>
      <c r="B1378" t="s">
        <v>19</v>
      </c>
      <c r="C1378">
        <v>1</v>
      </c>
      <c r="D1378">
        <v>1</v>
      </c>
      <c r="E1378">
        <v>20</v>
      </c>
    </row>
    <row r="1379" spans="1:5" x14ac:dyDescent="0.2">
      <c r="A1379" t="s">
        <v>1390</v>
      </c>
      <c r="B1379" t="s">
        <v>11</v>
      </c>
      <c r="C1379">
        <v>1</v>
      </c>
      <c r="D1379">
        <v>1</v>
      </c>
      <c r="E1379">
        <v>10</v>
      </c>
    </row>
    <row r="1380" spans="1:5" x14ac:dyDescent="0.2">
      <c r="A1380" t="s">
        <v>1391</v>
      </c>
      <c r="B1380" t="s">
        <v>6</v>
      </c>
      <c r="C1380">
        <v>1</v>
      </c>
      <c r="D1380">
        <v>1</v>
      </c>
      <c r="E1380">
        <v>40</v>
      </c>
    </row>
    <row r="1381" spans="1:5" x14ac:dyDescent="0.2">
      <c r="A1381" t="s">
        <v>1392</v>
      </c>
      <c r="B1381" t="s">
        <v>19</v>
      </c>
      <c r="C1381">
        <v>1</v>
      </c>
      <c r="D1381">
        <v>1</v>
      </c>
      <c r="E1381">
        <v>40</v>
      </c>
    </row>
    <row r="1382" spans="1:5" x14ac:dyDescent="0.2">
      <c r="A1382" t="s">
        <v>1393</v>
      </c>
      <c r="B1382" t="s">
        <v>23</v>
      </c>
      <c r="C1382">
        <v>1</v>
      </c>
      <c r="D1382">
        <v>0</v>
      </c>
      <c r="E1382">
        <v>40</v>
      </c>
    </row>
    <row r="1383" spans="1:5" x14ac:dyDescent="0.2">
      <c r="A1383" t="s">
        <v>1394</v>
      </c>
      <c r="B1383" t="s">
        <v>19</v>
      </c>
      <c r="C1383">
        <v>1</v>
      </c>
      <c r="D1383">
        <v>0</v>
      </c>
      <c r="E1383">
        <v>70</v>
      </c>
    </row>
    <row r="1384" spans="1:5" x14ac:dyDescent="0.2">
      <c r="A1384" t="s">
        <v>1395</v>
      </c>
      <c r="B1384" t="s">
        <v>19</v>
      </c>
      <c r="C1384">
        <v>1</v>
      </c>
      <c r="D1384">
        <v>1</v>
      </c>
      <c r="E1384">
        <v>4</v>
      </c>
    </row>
    <row r="1385" spans="1:5" x14ac:dyDescent="0.2">
      <c r="A1385" t="s">
        <v>1396</v>
      </c>
      <c r="B1385" t="s">
        <v>28</v>
      </c>
      <c r="C1385">
        <v>0</v>
      </c>
      <c r="D1385">
        <v>0</v>
      </c>
      <c r="E1385">
        <v>70</v>
      </c>
    </row>
    <row r="1386" spans="1:5" x14ac:dyDescent="0.2">
      <c r="A1386" t="s">
        <v>1397</v>
      </c>
      <c r="B1386" t="s">
        <v>17</v>
      </c>
      <c r="C1386">
        <v>1</v>
      </c>
      <c r="D1386">
        <v>0</v>
      </c>
      <c r="E1386">
        <v>20</v>
      </c>
    </row>
    <row r="1387" spans="1:5" x14ac:dyDescent="0.2">
      <c r="A1387" t="s">
        <v>1398</v>
      </c>
      <c r="B1387" t="s">
        <v>13</v>
      </c>
      <c r="C1387">
        <v>1</v>
      </c>
      <c r="D1387">
        <v>1</v>
      </c>
      <c r="E1387">
        <v>4</v>
      </c>
    </row>
    <row r="1388" spans="1:5" x14ac:dyDescent="0.2">
      <c r="A1388" t="s">
        <v>1399</v>
      </c>
      <c r="B1388" t="s">
        <v>19</v>
      </c>
      <c r="C1388">
        <v>0</v>
      </c>
      <c r="D1388">
        <v>1</v>
      </c>
      <c r="E1388">
        <v>70</v>
      </c>
    </row>
    <row r="1389" spans="1:5" x14ac:dyDescent="0.2">
      <c r="A1389" t="s">
        <v>1400</v>
      </c>
      <c r="B1389" t="s">
        <v>26</v>
      </c>
      <c r="C1389">
        <v>0</v>
      </c>
      <c r="D1389">
        <v>1</v>
      </c>
      <c r="E1389">
        <v>10</v>
      </c>
    </row>
    <row r="1390" spans="1:5" x14ac:dyDescent="0.2">
      <c r="A1390" t="s">
        <v>1401</v>
      </c>
      <c r="B1390" t="s">
        <v>6</v>
      </c>
      <c r="C1390">
        <v>0</v>
      </c>
      <c r="D1390">
        <v>1</v>
      </c>
      <c r="E1390">
        <v>10</v>
      </c>
    </row>
    <row r="1391" spans="1:5" x14ac:dyDescent="0.2">
      <c r="A1391" t="s">
        <v>1402</v>
      </c>
      <c r="B1391" t="s">
        <v>26</v>
      </c>
      <c r="C1391">
        <v>0</v>
      </c>
      <c r="D1391">
        <v>0</v>
      </c>
      <c r="E1391">
        <v>20</v>
      </c>
    </row>
    <row r="1392" spans="1:5" x14ac:dyDescent="0.2">
      <c r="A1392" t="s">
        <v>1403</v>
      </c>
      <c r="B1392" t="s">
        <v>46</v>
      </c>
      <c r="C1392">
        <v>0</v>
      </c>
      <c r="D1392">
        <v>0</v>
      </c>
      <c r="E1392">
        <v>20</v>
      </c>
    </row>
    <row r="1393" spans="1:5" x14ac:dyDescent="0.2">
      <c r="A1393" t="s">
        <v>1404</v>
      </c>
      <c r="B1393" t="s">
        <v>6</v>
      </c>
      <c r="C1393">
        <v>1</v>
      </c>
      <c r="D1393">
        <v>1</v>
      </c>
      <c r="E1393">
        <v>10</v>
      </c>
    </row>
    <row r="1394" spans="1:5" x14ac:dyDescent="0.2">
      <c r="A1394" t="s">
        <v>1405</v>
      </c>
      <c r="B1394" t="s">
        <v>40</v>
      </c>
      <c r="C1394">
        <v>1</v>
      </c>
      <c r="D1394">
        <v>1</v>
      </c>
      <c r="E1394">
        <v>20</v>
      </c>
    </row>
    <row r="1395" spans="1:5" x14ac:dyDescent="0.2">
      <c r="A1395" t="s">
        <v>1406</v>
      </c>
      <c r="B1395" t="s">
        <v>8</v>
      </c>
      <c r="C1395">
        <v>0</v>
      </c>
      <c r="D1395">
        <v>0</v>
      </c>
      <c r="E1395">
        <v>40</v>
      </c>
    </row>
    <row r="1396" spans="1:5" x14ac:dyDescent="0.2">
      <c r="A1396" t="s">
        <v>1407</v>
      </c>
      <c r="B1396" t="s">
        <v>15</v>
      </c>
      <c r="C1396">
        <v>1</v>
      </c>
      <c r="D1396">
        <v>0</v>
      </c>
      <c r="E1396">
        <v>4</v>
      </c>
    </row>
    <row r="1397" spans="1:5" x14ac:dyDescent="0.2">
      <c r="A1397" t="s">
        <v>1408</v>
      </c>
      <c r="B1397" t="s">
        <v>53</v>
      </c>
      <c r="C1397">
        <v>0</v>
      </c>
      <c r="D1397">
        <v>1</v>
      </c>
      <c r="E1397">
        <v>4</v>
      </c>
    </row>
    <row r="1398" spans="1:5" x14ac:dyDescent="0.2">
      <c r="A1398" t="s">
        <v>1409</v>
      </c>
      <c r="B1398" t="s">
        <v>6</v>
      </c>
      <c r="C1398">
        <v>1</v>
      </c>
      <c r="D1398">
        <v>1</v>
      </c>
      <c r="E1398">
        <v>20</v>
      </c>
    </row>
    <row r="1399" spans="1:5" x14ac:dyDescent="0.2">
      <c r="A1399" t="s">
        <v>1410</v>
      </c>
      <c r="B1399" t="s">
        <v>53</v>
      </c>
      <c r="C1399">
        <v>0</v>
      </c>
      <c r="D1399">
        <v>1</v>
      </c>
      <c r="E1399">
        <v>20</v>
      </c>
    </row>
    <row r="1400" spans="1:5" x14ac:dyDescent="0.2">
      <c r="A1400" t="s">
        <v>1411</v>
      </c>
      <c r="B1400" t="s">
        <v>6</v>
      </c>
      <c r="C1400">
        <v>0</v>
      </c>
      <c r="D1400">
        <v>1</v>
      </c>
      <c r="E1400">
        <v>10</v>
      </c>
    </row>
    <row r="1401" spans="1:5" x14ac:dyDescent="0.2">
      <c r="A1401" t="s">
        <v>1412</v>
      </c>
      <c r="B1401" t="s">
        <v>23</v>
      </c>
      <c r="C1401">
        <v>1</v>
      </c>
      <c r="D1401">
        <v>0</v>
      </c>
      <c r="E1401">
        <v>10</v>
      </c>
    </row>
    <row r="1402" spans="1:5" x14ac:dyDescent="0.2">
      <c r="A1402" t="s">
        <v>1413</v>
      </c>
      <c r="B1402" t="s">
        <v>26</v>
      </c>
      <c r="C1402">
        <v>1</v>
      </c>
      <c r="D1402">
        <v>1</v>
      </c>
      <c r="E1402">
        <v>4</v>
      </c>
    </row>
    <row r="1403" spans="1:5" x14ac:dyDescent="0.2">
      <c r="A1403" t="s">
        <v>1414</v>
      </c>
      <c r="B1403" t="s">
        <v>8</v>
      </c>
      <c r="C1403">
        <v>0</v>
      </c>
      <c r="D1403">
        <v>1</v>
      </c>
      <c r="E1403">
        <v>10</v>
      </c>
    </row>
    <row r="1404" spans="1:5" x14ac:dyDescent="0.2">
      <c r="A1404" t="s">
        <v>1415</v>
      </c>
      <c r="B1404" t="s">
        <v>61</v>
      </c>
      <c r="C1404">
        <v>1</v>
      </c>
      <c r="D1404">
        <v>1</v>
      </c>
      <c r="E1404">
        <v>40</v>
      </c>
    </row>
    <row r="1405" spans="1:5" x14ac:dyDescent="0.2">
      <c r="A1405" t="s">
        <v>1416</v>
      </c>
      <c r="B1405" t="s">
        <v>37</v>
      </c>
      <c r="C1405">
        <v>1</v>
      </c>
      <c r="D1405">
        <v>0</v>
      </c>
      <c r="E1405">
        <v>70</v>
      </c>
    </row>
    <row r="1406" spans="1:5" x14ac:dyDescent="0.2">
      <c r="A1406" t="s">
        <v>1417</v>
      </c>
      <c r="B1406" t="s">
        <v>15</v>
      </c>
      <c r="C1406">
        <v>1</v>
      </c>
      <c r="D1406">
        <v>0</v>
      </c>
      <c r="E1406">
        <v>20</v>
      </c>
    </row>
    <row r="1407" spans="1:5" x14ac:dyDescent="0.2">
      <c r="A1407" t="s">
        <v>1418</v>
      </c>
      <c r="B1407" t="s">
        <v>15</v>
      </c>
      <c r="C1407">
        <v>1</v>
      </c>
      <c r="D1407">
        <v>1</v>
      </c>
      <c r="E1407">
        <v>10</v>
      </c>
    </row>
    <row r="1408" spans="1:5" x14ac:dyDescent="0.2">
      <c r="A1408" t="s">
        <v>1419</v>
      </c>
      <c r="B1408" t="s">
        <v>23</v>
      </c>
      <c r="C1408">
        <v>0</v>
      </c>
      <c r="D1408">
        <v>1</v>
      </c>
      <c r="E1408">
        <v>70</v>
      </c>
    </row>
    <row r="1409" spans="1:5" x14ac:dyDescent="0.2">
      <c r="A1409" t="s">
        <v>1420</v>
      </c>
      <c r="B1409" t="s">
        <v>6</v>
      </c>
      <c r="C1409">
        <v>1</v>
      </c>
      <c r="D1409">
        <v>1</v>
      </c>
      <c r="E1409">
        <v>10</v>
      </c>
    </row>
    <row r="1410" spans="1:5" x14ac:dyDescent="0.2">
      <c r="A1410" t="s">
        <v>1421</v>
      </c>
      <c r="B1410" t="s">
        <v>37</v>
      </c>
      <c r="C1410">
        <v>0</v>
      </c>
      <c r="D1410">
        <v>1</v>
      </c>
      <c r="E1410">
        <v>4</v>
      </c>
    </row>
    <row r="1411" spans="1:5" x14ac:dyDescent="0.2">
      <c r="A1411" t="s">
        <v>1422</v>
      </c>
      <c r="B1411" t="s">
        <v>6</v>
      </c>
      <c r="C1411">
        <v>0</v>
      </c>
      <c r="D1411">
        <v>0</v>
      </c>
      <c r="E1411">
        <v>40</v>
      </c>
    </row>
    <row r="1412" spans="1:5" x14ac:dyDescent="0.2">
      <c r="A1412" t="s">
        <v>1423</v>
      </c>
      <c r="B1412" t="s">
        <v>40</v>
      </c>
      <c r="C1412">
        <v>0</v>
      </c>
      <c r="D1412">
        <v>0</v>
      </c>
      <c r="E1412">
        <v>4</v>
      </c>
    </row>
    <row r="1413" spans="1:5" x14ac:dyDescent="0.2">
      <c r="A1413" t="s">
        <v>1424</v>
      </c>
      <c r="B1413" t="s">
        <v>26</v>
      </c>
      <c r="C1413">
        <v>0</v>
      </c>
      <c r="D1413">
        <v>1</v>
      </c>
      <c r="E1413">
        <v>70</v>
      </c>
    </row>
    <row r="1414" spans="1:5" x14ac:dyDescent="0.2">
      <c r="A1414" t="s">
        <v>1425</v>
      </c>
      <c r="B1414" t="s">
        <v>8</v>
      </c>
      <c r="C1414">
        <v>1</v>
      </c>
      <c r="D1414">
        <v>1</v>
      </c>
      <c r="E1414">
        <v>4</v>
      </c>
    </row>
    <row r="1415" spans="1:5" x14ac:dyDescent="0.2">
      <c r="A1415" t="s">
        <v>1426</v>
      </c>
      <c r="B1415" t="s">
        <v>61</v>
      </c>
      <c r="C1415">
        <v>1</v>
      </c>
      <c r="D1415">
        <v>1</v>
      </c>
      <c r="E1415">
        <v>20</v>
      </c>
    </row>
    <row r="1416" spans="1:5" x14ac:dyDescent="0.2">
      <c r="A1416" t="s">
        <v>1427</v>
      </c>
      <c r="B1416" t="s">
        <v>26</v>
      </c>
      <c r="C1416">
        <v>1</v>
      </c>
      <c r="D1416">
        <v>0</v>
      </c>
      <c r="E1416">
        <v>10</v>
      </c>
    </row>
    <row r="1417" spans="1:5" x14ac:dyDescent="0.2">
      <c r="A1417" t="s">
        <v>1428</v>
      </c>
      <c r="B1417" t="s">
        <v>23</v>
      </c>
      <c r="C1417">
        <v>0</v>
      </c>
      <c r="D1417">
        <v>0</v>
      </c>
      <c r="E1417">
        <v>10</v>
      </c>
    </row>
    <row r="1418" spans="1:5" x14ac:dyDescent="0.2">
      <c r="A1418" t="s">
        <v>1429</v>
      </c>
      <c r="B1418" t="s">
        <v>8</v>
      </c>
      <c r="C1418">
        <v>0</v>
      </c>
      <c r="D1418">
        <v>0</v>
      </c>
      <c r="E1418">
        <v>4</v>
      </c>
    </row>
    <row r="1419" spans="1:5" x14ac:dyDescent="0.2">
      <c r="A1419" t="s">
        <v>1430</v>
      </c>
      <c r="B1419" t="s">
        <v>19</v>
      </c>
      <c r="C1419">
        <v>1</v>
      </c>
      <c r="D1419">
        <v>1</v>
      </c>
      <c r="E1419">
        <v>4</v>
      </c>
    </row>
    <row r="1420" spans="1:5" x14ac:dyDescent="0.2">
      <c r="A1420" t="s">
        <v>1431</v>
      </c>
      <c r="B1420" t="s">
        <v>37</v>
      </c>
      <c r="C1420">
        <v>0</v>
      </c>
      <c r="D1420">
        <v>1</v>
      </c>
      <c r="E1420">
        <v>4</v>
      </c>
    </row>
    <row r="1421" spans="1:5" x14ac:dyDescent="0.2">
      <c r="A1421" t="s">
        <v>1432</v>
      </c>
      <c r="B1421" t="s">
        <v>6</v>
      </c>
      <c r="C1421">
        <v>1</v>
      </c>
      <c r="D1421">
        <v>0</v>
      </c>
      <c r="E1421">
        <v>4</v>
      </c>
    </row>
    <row r="1422" spans="1:5" x14ac:dyDescent="0.2">
      <c r="A1422" t="s">
        <v>1433</v>
      </c>
      <c r="B1422" t="s">
        <v>53</v>
      </c>
      <c r="C1422">
        <v>0</v>
      </c>
      <c r="D1422">
        <v>1</v>
      </c>
      <c r="E1422">
        <v>10</v>
      </c>
    </row>
    <row r="1423" spans="1:5" x14ac:dyDescent="0.2">
      <c r="A1423" t="s">
        <v>1434</v>
      </c>
      <c r="B1423" t="s">
        <v>17</v>
      </c>
      <c r="C1423">
        <v>0</v>
      </c>
      <c r="D1423">
        <v>0</v>
      </c>
      <c r="E1423">
        <v>40</v>
      </c>
    </row>
    <row r="1424" spans="1:5" x14ac:dyDescent="0.2">
      <c r="A1424" t="s">
        <v>1435</v>
      </c>
      <c r="B1424" t="s">
        <v>19</v>
      </c>
      <c r="C1424">
        <v>0</v>
      </c>
      <c r="D1424">
        <v>0</v>
      </c>
      <c r="E1424">
        <v>20</v>
      </c>
    </row>
    <row r="1425" spans="1:5" x14ac:dyDescent="0.2">
      <c r="A1425" t="s">
        <v>1436</v>
      </c>
      <c r="B1425" t="s">
        <v>26</v>
      </c>
      <c r="C1425">
        <v>0</v>
      </c>
      <c r="D1425">
        <v>1</v>
      </c>
      <c r="E1425">
        <v>20</v>
      </c>
    </row>
    <row r="1426" spans="1:5" x14ac:dyDescent="0.2">
      <c r="A1426" t="s">
        <v>1437</v>
      </c>
      <c r="B1426" t="s">
        <v>6</v>
      </c>
      <c r="C1426">
        <v>1</v>
      </c>
      <c r="D1426">
        <v>1</v>
      </c>
      <c r="E1426">
        <v>10</v>
      </c>
    </row>
    <row r="1427" spans="1:5" x14ac:dyDescent="0.2">
      <c r="A1427" t="s">
        <v>1438</v>
      </c>
      <c r="B1427" t="s">
        <v>46</v>
      </c>
      <c r="C1427">
        <v>0</v>
      </c>
      <c r="D1427">
        <v>0</v>
      </c>
      <c r="E1427">
        <v>4</v>
      </c>
    </row>
    <row r="1428" spans="1:5" x14ac:dyDescent="0.2">
      <c r="A1428" t="s">
        <v>1439</v>
      </c>
      <c r="B1428" t="s">
        <v>37</v>
      </c>
      <c r="C1428">
        <v>1</v>
      </c>
      <c r="D1428">
        <v>1</v>
      </c>
      <c r="E1428">
        <v>70</v>
      </c>
    </row>
    <row r="1429" spans="1:5" x14ac:dyDescent="0.2">
      <c r="A1429" t="s">
        <v>1440</v>
      </c>
      <c r="B1429" t="s">
        <v>26</v>
      </c>
      <c r="C1429">
        <v>1</v>
      </c>
      <c r="D1429">
        <v>1</v>
      </c>
      <c r="E1429">
        <v>40</v>
      </c>
    </row>
    <row r="1430" spans="1:5" x14ac:dyDescent="0.2">
      <c r="A1430" t="s">
        <v>1441</v>
      </c>
      <c r="B1430" t="s">
        <v>53</v>
      </c>
      <c r="C1430">
        <v>0</v>
      </c>
      <c r="D1430">
        <v>1</v>
      </c>
      <c r="E1430">
        <v>4</v>
      </c>
    </row>
    <row r="1431" spans="1:5" x14ac:dyDescent="0.2">
      <c r="A1431" t="s">
        <v>1442</v>
      </c>
      <c r="B1431" t="s">
        <v>28</v>
      </c>
      <c r="C1431">
        <v>1</v>
      </c>
      <c r="D1431">
        <v>1</v>
      </c>
      <c r="E1431">
        <v>20</v>
      </c>
    </row>
    <row r="1432" spans="1:5" x14ac:dyDescent="0.2">
      <c r="A1432" t="s">
        <v>1443</v>
      </c>
      <c r="B1432" t="s">
        <v>11</v>
      </c>
      <c r="C1432">
        <v>0</v>
      </c>
      <c r="D1432">
        <v>0</v>
      </c>
      <c r="E1432">
        <v>40</v>
      </c>
    </row>
    <row r="1433" spans="1:5" x14ac:dyDescent="0.2">
      <c r="A1433" t="s">
        <v>1444</v>
      </c>
      <c r="B1433" t="s">
        <v>53</v>
      </c>
      <c r="C1433">
        <v>1</v>
      </c>
      <c r="D1433">
        <v>0</v>
      </c>
      <c r="E1433">
        <v>4</v>
      </c>
    </row>
    <row r="1434" spans="1:5" x14ac:dyDescent="0.2">
      <c r="A1434" t="s">
        <v>1445</v>
      </c>
      <c r="B1434" t="s">
        <v>61</v>
      </c>
      <c r="C1434">
        <v>1</v>
      </c>
      <c r="D1434">
        <v>1</v>
      </c>
      <c r="E1434">
        <v>70</v>
      </c>
    </row>
    <row r="1435" spans="1:5" x14ac:dyDescent="0.2">
      <c r="A1435" t="s">
        <v>1446</v>
      </c>
      <c r="B1435" t="s">
        <v>28</v>
      </c>
      <c r="C1435">
        <v>0</v>
      </c>
      <c r="D1435">
        <v>1</v>
      </c>
      <c r="E1435">
        <v>10</v>
      </c>
    </row>
    <row r="1436" spans="1:5" x14ac:dyDescent="0.2">
      <c r="A1436" t="s">
        <v>1447</v>
      </c>
      <c r="B1436" t="s">
        <v>23</v>
      </c>
      <c r="C1436">
        <v>1</v>
      </c>
      <c r="D1436">
        <v>0</v>
      </c>
      <c r="E1436">
        <v>70</v>
      </c>
    </row>
    <row r="1437" spans="1:5" x14ac:dyDescent="0.2">
      <c r="A1437" t="s">
        <v>1448</v>
      </c>
      <c r="B1437" t="s">
        <v>61</v>
      </c>
      <c r="C1437">
        <v>0</v>
      </c>
      <c r="D1437">
        <v>1</v>
      </c>
      <c r="E1437">
        <v>10</v>
      </c>
    </row>
    <row r="1438" spans="1:5" x14ac:dyDescent="0.2">
      <c r="A1438" t="s">
        <v>1449</v>
      </c>
      <c r="B1438" t="s">
        <v>61</v>
      </c>
      <c r="C1438">
        <v>0</v>
      </c>
      <c r="D1438">
        <v>0</v>
      </c>
      <c r="E1438">
        <v>40</v>
      </c>
    </row>
    <row r="1439" spans="1:5" x14ac:dyDescent="0.2">
      <c r="A1439" t="s">
        <v>1450</v>
      </c>
      <c r="B1439" t="s">
        <v>28</v>
      </c>
      <c r="C1439">
        <v>0</v>
      </c>
      <c r="D1439">
        <v>0</v>
      </c>
      <c r="E1439">
        <v>70</v>
      </c>
    </row>
    <row r="1440" spans="1:5" x14ac:dyDescent="0.2">
      <c r="A1440" t="s">
        <v>1451</v>
      </c>
      <c r="B1440" t="s">
        <v>28</v>
      </c>
      <c r="C1440">
        <v>0</v>
      </c>
      <c r="D1440">
        <v>0</v>
      </c>
      <c r="E1440">
        <v>70</v>
      </c>
    </row>
    <row r="1441" spans="1:5" x14ac:dyDescent="0.2">
      <c r="A1441" t="s">
        <v>1452</v>
      </c>
      <c r="B1441" t="s">
        <v>26</v>
      </c>
      <c r="C1441">
        <v>1</v>
      </c>
      <c r="D1441">
        <v>1</v>
      </c>
      <c r="E1441">
        <v>70</v>
      </c>
    </row>
    <row r="1442" spans="1:5" x14ac:dyDescent="0.2">
      <c r="A1442" t="s">
        <v>1453</v>
      </c>
      <c r="B1442" t="s">
        <v>13</v>
      </c>
      <c r="C1442">
        <v>0</v>
      </c>
      <c r="D1442">
        <v>1</v>
      </c>
      <c r="E1442">
        <v>4</v>
      </c>
    </row>
    <row r="1443" spans="1:5" x14ac:dyDescent="0.2">
      <c r="A1443" t="s">
        <v>1454</v>
      </c>
      <c r="B1443" t="s">
        <v>15</v>
      </c>
      <c r="C1443">
        <v>1</v>
      </c>
      <c r="D1443">
        <v>1</v>
      </c>
      <c r="E1443">
        <v>20</v>
      </c>
    </row>
    <row r="1444" spans="1:5" x14ac:dyDescent="0.2">
      <c r="A1444" t="s">
        <v>1455</v>
      </c>
      <c r="B1444" t="s">
        <v>28</v>
      </c>
      <c r="C1444">
        <v>0</v>
      </c>
      <c r="D1444">
        <v>1</v>
      </c>
      <c r="E1444">
        <v>70</v>
      </c>
    </row>
    <row r="1445" spans="1:5" x14ac:dyDescent="0.2">
      <c r="A1445" t="s">
        <v>1456</v>
      </c>
      <c r="B1445" t="s">
        <v>61</v>
      </c>
      <c r="C1445">
        <v>1</v>
      </c>
      <c r="D1445">
        <v>0</v>
      </c>
      <c r="E1445">
        <v>40</v>
      </c>
    </row>
    <row r="1446" spans="1:5" x14ac:dyDescent="0.2">
      <c r="A1446" t="s">
        <v>1457</v>
      </c>
      <c r="B1446" t="s">
        <v>40</v>
      </c>
      <c r="C1446">
        <v>0</v>
      </c>
      <c r="D1446">
        <v>1</v>
      </c>
      <c r="E1446">
        <v>4</v>
      </c>
    </row>
    <row r="1447" spans="1:5" x14ac:dyDescent="0.2">
      <c r="A1447" t="s">
        <v>1458</v>
      </c>
      <c r="B1447" t="s">
        <v>13</v>
      </c>
      <c r="C1447">
        <v>0</v>
      </c>
      <c r="D1447">
        <v>1</v>
      </c>
      <c r="E1447">
        <v>40</v>
      </c>
    </row>
    <row r="1448" spans="1:5" x14ac:dyDescent="0.2">
      <c r="A1448" t="s">
        <v>1459</v>
      </c>
      <c r="B1448" t="s">
        <v>28</v>
      </c>
      <c r="C1448">
        <v>1</v>
      </c>
      <c r="D1448">
        <v>1</v>
      </c>
      <c r="E1448">
        <v>10</v>
      </c>
    </row>
    <row r="1449" spans="1:5" x14ac:dyDescent="0.2">
      <c r="A1449" t="s">
        <v>1460</v>
      </c>
      <c r="B1449" t="s">
        <v>15</v>
      </c>
      <c r="C1449">
        <v>1</v>
      </c>
      <c r="D1449">
        <v>0</v>
      </c>
      <c r="E1449">
        <v>10</v>
      </c>
    </row>
    <row r="1450" spans="1:5" x14ac:dyDescent="0.2">
      <c r="A1450" t="s">
        <v>1461</v>
      </c>
      <c r="B1450" t="s">
        <v>37</v>
      </c>
      <c r="C1450">
        <v>1</v>
      </c>
      <c r="D1450">
        <v>1</v>
      </c>
      <c r="E1450">
        <v>10</v>
      </c>
    </row>
    <row r="1451" spans="1:5" x14ac:dyDescent="0.2">
      <c r="A1451" t="s">
        <v>1462</v>
      </c>
      <c r="B1451" t="s">
        <v>28</v>
      </c>
      <c r="C1451">
        <v>1</v>
      </c>
      <c r="D1451">
        <v>1</v>
      </c>
      <c r="E1451">
        <v>70</v>
      </c>
    </row>
    <row r="1452" spans="1:5" x14ac:dyDescent="0.2">
      <c r="A1452" t="s">
        <v>1463</v>
      </c>
      <c r="B1452" t="s">
        <v>6</v>
      </c>
      <c r="C1452">
        <v>0</v>
      </c>
      <c r="D1452">
        <v>0</v>
      </c>
      <c r="E1452">
        <v>20</v>
      </c>
    </row>
    <row r="1453" spans="1:5" x14ac:dyDescent="0.2">
      <c r="A1453" t="s">
        <v>1464</v>
      </c>
      <c r="B1453" t="s">
        <v>23</v>
      </c>
      <c r="C1453">
        <v>1</v>
      </c>
      <c r="D1453">
        <v>1</v>
      </c>
      <c r="E1453">
        <v>4</v>
      </c>
    </row>
    <row r="1454" spans="1:5" x14ac:dyDescent="0.2">
      <c r="A1454" t="s">
        <v>1465</v>
      </c>
      <c r="B1454" t="s">
        <v>15</v>
      </c>
      <c r="C1454">
        <v>1</v>
      </c>
      <c r="D1454">
        <v>0</v>
      </c>
      <c r="E1454">
        <v>70</v>
      </c>
    </row>
    <row r="1455" spans="1:5" x14ac:dyDescent="0.2">
      <c r="A1455" t="s">
        <v>1466</v>
      </c>
      <c r="B1455" t="s">
        <v>46</v>
      </c>
      <c r="C1455">
        <v>0</v>
      </c>
      <c r="D1455">
        <v>1</v>
      </c>
      <c r="E1455">
        <v>4</v>
      </c>
    </row>
    <row r="1456" spans="1:5" x14ac:dyDescent="0.2">
      <c r="A1456" t="s">
        <v>1467</v>
      </c>
      <c r="B1456" t="s">
        <v>40</v>
      </c>
      <c r="C1456">
        <v>1</v>
      </c>
      <c r="D1456">
        <v>0</v>
      </c>
      <c r="E1456">
        <v>40</v>
      </c>
    </row>
    <row r="1457" spans="1:5" x14ac:dyDescent="0.2">
      <c r="A1457" t="s">
        <v>1468</v>
      </c>
      <c r="B1457" t="s">
        <v>28</v>
      </c>
      <c r="C1457">
        <v>0</v>
      </c>
      <c r="D1457">
        <v>0</v>
      </c>
      <c r="E1457">
        <v>40</v>
      </c>
    </row>
    <row r="1458" spans="1:5" x14ac:dyDescent="0.2">
      <c r="A1458" t="s">
        <v>1469</v>
      </c>
      <c r="B1458" t="s">
        <v>6</v>
      </c>
      <c r="C1458">
        <v>1</v>
      </c>
      <c r="D1458">
        <v>1</v>
      </c>
      <c r="E1458">
        <v>4</v>
      </c>
    </row>
    <row r="1459" spans="1:5" x14ac:dyDescent="0.2">
      <c r="A1459" t="s">
        <v>1470</v>
      </c>
      <c r="B1459" t="s">
        <v>15</v>
      </c>
      <c r="C1459">
        <v>1</v>
      </c>
      <c r="D1459">
        <v>1</v>
      </c>
      <c r="E1459">
        <v>40</v>
      </c>
    </row>
    <row r="1460" spans="1:5" x14ac:dyDescent="0.2">
      <c r="A1460" t="s">
        <v>1471</v>
      </c>
      <c r="B1460" t="s">
        <v>17</v>
      </c>
      <c r="C1460">
        <v>1</v>
      </c>
      <c r="D1460">
        <v>0</v>
      </c>
      <c r="E1460">
        <v>10</v>
      </c>
    </row>
    <row r="1461" spans="1:5" x14ac:dyDescent="0.2">
      <c r="A1461" t="s">
        <v>1472</v>
      </c>
      <c r="B1461" t="s">
        <v>46</v>
      </c>
      <c r="C1461">
        <v>0</v>
      </c>
      <c r="D1461">
        <v>0</v>
      </c>
      <c r="E1461">
        <v>10</v>
      </c>
    </row>
    <row r="1462" spans="1:5" x14ac:dyDescent="0.2">
      <c r="A1462" t="s">
        <v>1473</v>
      </c>
      <c r="B1462" t="s">
        <v>26</v>
      </c>
      <c r="C1462">
        <v>1</v>
      </c>
      <c r="D1462">
        <v>1</v>
      </c>
      <c r="E1462">
        <v>4</v>
      </c>
    </row>
    <row r="1463" spans="1:5" x14ac:dyDescent="0.2">
      <c r="A1463" t="s">
        <v>1474</v>
      </c>
      <c r="B1463" t="s">
        <v>53</v>
      </c>
      <c r="C1463">
        <v>1</v>
      </c>
      <c r="D1463">
        <v>1</v>
      </c>
      <c r="E1463">
        <v>10</v>
      </c>
    </row>
    <row r="1464" spans="1:5" x14ac:dyDescent="0.2">
      <c r="A1464" t="s">
        <v>1475</v>
      </c>
      <c r="B1464" t="s">
        <v>26</v>
      </c>
      <c r="C1464">
        <v>1</v>
      </c>
      <c r="D1464">
        <v>0</v>
      </c>
      <c r="E1464">
        <v>70</v>
      </c>
    </row>
    <row r="1465" spans="1:5" x14ac:dyDescent="0.2">
      <c r="A1465" t="s">
        <v>1476</v>
      </c>
      <c r="B1465" t="s">
        <v>40</v>
      </c>
      <c r="C1465">
        <v>1</v>
      </c>
      <c r="D1465">
        <v>1</v>
      </c>
      <c r="E1465">
        <v>10</v>
      </c>
    </row>
    <row r="1466" spans="1:5" x14ac:dyDescent="0.2">
      <c r="A1466" t="s">
        <v>1477</v>
      </c>
      <c r="B1466" t="s">
        <v>28</v>
      </c>
      <c r="C1466">
        <v>1</v>
      </c>
      <c r="D1466">
        <v>1</v>
      </c>
      <c r="E1466">
        <v>10</v>
      </c>
    </row>
    <row r="1467" spans="1:5" x14ac:dyDescent="0.2">
      <c r="A1467" t="s">
        <v>1478</v>
      </c>
      <c r="B1467" t="s">
        <v>17</v>
      </c>
      <c r="C1467">
        <v>0</v>
      </c>
      <c r="D1467">
        <v>1</v>
      </c>
      <c r="E1467">
        <v>70</v>
      </c>
    </row>
    <row r="1468" spans="1:5" x14ac:dyDescent="0.2">
      <c r="A1468" t="s">
        <v>1479</v>
      </c>
      <c r="B1468" t="s">
        <v>26</v>
      </c>
      <c r="C1468">
        <v>0</v>
      </c>
      <c r="D1468">
        <v>1</v>
      </c>
      <c r="E1468">
        <v>70</v>
      </c>
    </row>
    <row r="1469" spans="1:5" x14ac:dyDescent="0.2">
      <c r="A1469" t="s">
        <v>1480</v>
      </c>
      <c r="B1469" t="s">
        <v>11</v>
      </c>
      <c r="C1469">
        <v>1</v>
      </c>
      <c r="D1469">
        <v>1</v>
      </c>
      <c r="E1469">
        <v>40</v>
      </c>
    </row>
    <row r="1470" spans="1:5" x14ac:dyDescent="0.2">
      <c r="A1470" t="s">
        <v>1481</v>
      </c>
      <c r="B1470" t="s">
        <v>46</v>
      </c>
      <c r="C1470">
        <v>0</v>
      </c>
      <c r="D1470">
        <v>1</v>
      </c>
      <c r="E1470">
        <v>70</v>
      </c>
    </row>
    <row r="1471" spans="1:5" x14ac:dyDescent="0.2">
      <c r="A1471" t="s">
        <v>1482</v>
      </c>
      <c r="B1471" t="s">
        <v>61</v>
      </c>
      <c r="C1471">
        <v>0</v>
      </c>
      <c r="D1471">
        <v>1</v>
      </c>
      <c r="E1471">
        <v>40</v>
      </c>
    </row>
    <row r="1472" spans="1:5" x14ac:dyDescent="0.2">
      <c r="A1472" t="s">
        <v>1483</v>
      </c>
      <c r="B1472" t="s">
        <v>15</v>
      </c>
      <c r="C1472">
        <v>1</v>
      </c>
      <c r="D1472">
        <v>1</v>
      </c>
      <c r="E1472">
        <v>40</v>
      </c>
    </row>
    <row r="1473" spans="1:5" x14ac:dyDescent="0.2">
      <c r="A1473" t="s">
        <v>1484</v>
      </c>
      <c r="B1473" t="s">
        <v>61</v>
      </c>
      <c r="C1473">
        <v>0</v>
      </c>
      <c r="D1473">
        <v>1</v>
      </c>
      <c r="E1473">
        <v>20</v>
      </c>
    </row>
    <row r="1474" spans="1:5" x14ac:dyDescent="0.2">
      <c r="A1474" t="s">
        <v>1485</v>
      </c>
      <c r="B1474" t="s">
        <v>40</v>
      </c>
      <c r="C1474">
        <v>1</v>
      </c>
      <c r="D1474">
        <v>1</v>
      </c>
      <c r="E1474">
        <v>40</v>
      </c>
    </row>
    <row r="1475" spans="1:5" x14ac:dyDescent="0.2">
      <c r="A1475" t="s">
        <v>1486</v>
      </c>
      <c r="B1475" t="s">
        <v>23</v>
      </c>
      <c r="C1475">
        <v>0</v>
      </c>
      <c r="D1475">
        <v>1</v>
      </c>
      <c r="E1475">
        <v>40</v>
      </c>
    </row>
    <row r="1476" spans="1:5" x14ac:dyDescent="0.2">
      <c r="A1476" t="s">
        <v>1487</v>
      </c>
      <c r="B1476" t="s">
        <v>8</v>
      </c>
      <c r="C1476">
        <v>1</v>
      </c>
      <c r="D1476">
        <v>1</v>
      </c>
      <c r="E1476">
        <v>20</v>
      </c>
    </row>
    <row r="1477" spans="1:5" x14ac:dyDescent="0.2">
      <c r="A1477" t="s">
        <v>1488</v>
      </c>
      <c r="B1477" t="s">
        <v>26</v>
      </c>
      <c r="C1477">
        <v>0</v>
      </c>
      <c r="D1477">
        <v>0</v>
      </c>
      <c r="E1477">
        <v>20</v>
      </c>
    </row>
    <row r="1478" spans="1:5" x14ac:dyDescent="0.2">
      <c r="A1478" t="s">
        <v>1489</v>
      </c>
      <c r="B1478" t="s">
        <v>46</v>
      </c>
      <c r="C1478">
        <v>0</v>
      </c>
      <c r="D1478">
        <v>1</v>
      </c>
      <c r="E1478">
        <v>40</v>
      </c>
    </row>
    <row r="1479" spans="1:5" x14ac:dyDescent="0.2">
      <c r="A1479" t="s">
        <v>1490</v>
      </c>
      <c r="B1479" t="s">
        <v>6</v>
      </c>
      <c r="C1479">
        <v>0</v>
      </c>
      <c r="D1479">
        <v>1</v>
      </c>
      <c r="E1479">
        <v>10</v>
      </c>
    </row>
    <row r="1480" spans="1:5" x14ac:dyDescent="0.2">
      <c r="A1480" t="s">
        <v>1491</v>
      </c>
      <c r="B1480" t="s">
        <v>15</v>
      </c>
      <c r="C1480">
        <v>0</v>
      </c>
      <c r="D1480">
        <v>1</v>
      </c>
      <c r="E1480">
        <v>40</v>
      </c>
    </row>
    <row r="1481" spans="1:5" x14ac:dyDescent="0.2">
      <c r="A1481" t="s">
        <v>1492</v>
      </c>
      <c r="B1481" t="s">
        <v>46</v>
      </c>
      <c r="C1481">
        <v>1</v>
      </c>
      <c r="D1481">
        <v>1</v>
      </c>
      <c r="E1481">
        <v>10</v>
      </c>
    </row>
    <row r="1482" spans="1:5" x14ac:dyDescent="0.2">
      <c r="A1482" t="s">
        <v>1493</v>
      </c>
      <c r="B1482" t="s">
        <v>28</v>
      </c>
      <c r="C1482">
        <v>1</v>
      </c>
      <c r="D1482">
        <v>0</v>
      </c>
      <c r="E1482">
        <v>70</v>
      </c>
    </row>
    <row r="1483" spans="1:5" x14ac:dyDescent="0.2">
      <c r="A1483" t="s">
        <v>1494</v>
      </c>
      <c r="B1483" t="s">
        <v>19</v>
      </c>
      <c r="C1483">
        <v>0</v>
      </c>
      <c r="D1483">
        <v>0</v>
      </c>
      <c r="E1483">
        <v>70</v>
      </c>
    </row>
    <row r="1484" spans="1:5" x14ac:dyDescent="0.2">
      <c r="A1484" t="s">
        <v>1495</v>
      </c>
      <c r="B1484" t="s">
        <v>23</v>
      </c>
      <c r="C1484">
        <v>0</v>
      </c>
      <c r="D1484">
        <v>0</v>
      </c>
      <c r="E1484">
        <v>70</v>
      </c>
    </row>
    <row r="1485" spans="1:5" x14ac:dyDescent="0.2">
      <c r="A1485" t="s">
        <v>1496</v>
      </c>
      <c r="B1485" t="s">
        <v>11</v>
      </c>
      <c r="C1485">
        <v>0</v>
      </c>
      <c r="D1485">
        <v>0</v>
      </c>
      <c r="E1485">
        <v>4</v>
      </c>
    </row>
    <row r="1486" spans="1:5" x14ac:dyDescent="0.2">
      <c r="A1486" t="s">
        <v>1497</v>
      </c>
      <c r="B1486" t="s">
        <v>13</v>
      </c>
      <c r="C1486">
        <v>0</v>
      </c>
      <c r="D1486">
        <v>0</v>
      </c>
      <c r="E1486">
        <v>4</v>
      </c>
    </row>
    <row r="1487" spans="1:5" x14ac:dyDescent="0.2">
      <c r="A1487" t="s">
        <v>1498</v>
      </c>
      <c r="B1487" t="s">
        <v>40</v>
      </c>
      <c r="C1487">
        <v>1</v>
      </c>
      <c r="D1487">
        <v>1</v>
      </c>
      <c r="E1487">
        <v>10</v>
      </c>
    </row>
    <row r="1488" spans="1:5" x14ac:dyDescent="0.2">
      <c r="A1488" t="s">
        <v>1499</v>
      </c>
      <c r="B1488" t="s">
        <v>28</v>
      </c>
      <c r="C1488">
        <v>1</v>
      </c>
      <c r="D1488">
        <v>1</v>
      </c>
      <c r="E1488">
        <v>4</v>
      </c>
    </row>
    <row r="1489" spans="1:5" x14ac:dyDescent="0.2">
      <c r="A1489" t="s">
        <v>1500</v>
      </c>
      <c r="B1489" t="s">
        <v>8</v>
      </c>
      <c r="C1489">
        <v>0</v>
      </c>
      <c r="D1489">
        <v>1</v>
      </c>
      <c r="E1489">
        <v>70</v>
      </c>
    </row>
    <row r="1490" spans="1:5" x14ac:dyDescent="0.2">
      <c r="A1490" t="s">
        <v>1501</v>
      </c>
      <c r="B1490" t="s">
        <v>17</v>
      </c>
      <c r="C1490">
        <v>0</v>
      </c>
      <c r="D1490">
        <v>1</v>
      </c>
      <c r="E1490">
        <v>4</v>
      </c>
    </row>
    <row r="1491" spans="1:5" x14ac:dyDescent="0.2">
      <c r="A1491" t="s">
        <v>1502</v>
      </c>
      <c r="B1491" t="s">
        <v>15</v>
      </c>
      <c r="C1491">
        <v>1</v>
      </c>
      <c r="D1491">
        <v>0</v>
      </c>
      <c r="E1491">
        <v>40</v>
      </c>
    </row>
    <row r="1492" spans="1:5" x14ac:dyDescent="0.2">
      <c r="A1492" t="s">
        <v>1503</v>
      </c>
      <c r="B1492" t="s">
        <v>13</v>
      </c>
      <c r="C1492">
        <v>0</v>
      </c>
      <c r="D1492">
        <v>1</v>
      </c>
      <c r="E1492">
        <v>4</v>
      </c>
    </row>
    <row r="1493" spans="1:5" x14ac:dyDescent="0.2">
      <c r="A1493" t="s">
        <v>1504</v>
      </c>
      <c r="B1493" t="s">
        <v>28</v>
      </c>
      <c r="C1493">
        <v>0</v>
      </c>
      <c r="D1493">
        <v>1</v>
      </c>
      <c r="E1493">
        <v>70</v>
      </c>
    </row>
    <row r="1494" spans="1:5" x14ac:dyDescent="0.2">
      <c r="A1494" t="s">
        <v>1505</v>
      </c>
      <c r="B1494" t="s">
        <v>11</v>
      </c>
      <c r="C1494">
        <v>0</v>
      </c>
      <c r="D1494">
        <v>1</v>
      </c>
      <c r="E1494">
        <v>4</v>
      </c>
    </row>
    <row r="1495" spans="1:5" x14ac:dyDescent="0.2">
      <c r="A1495" t="s">
        <v>1506</v>
      </c>
      <c r="B1495" t="s">
        <v>8</v>
      </c>
      <c r="C1495">
        <v>1</v>
      </c>
      <c r="D1495">
        <v>1</v>
      </c>
      <c r="E1495">
        <v>70</v>
      </c>
    </row>
    <row r="1496" spans="1:5" x14ac:dyDescent="0.2">
      <c r="A1496" t="s">
        <v>1507</v>
      </c>
      <c r="B1496" t="s">
        <v>6</v>
      </c>
      <c r="C1496">
        <v>1</v>
      </c>
      <c r="D1496">
        <v>1</v>
      </c>
      <c r="E1496">
        <v>20</v>
      </c>
    </row>
    <row r="1497" spans="1:5" x14ac:dyDescent="0.2">
      <c r="A1497" t="s">
        <v>1508</v>
      </c>
      <c r="B1497" t="s">
        <v>61</v>
      </c>
      <c r="C1497">
        <v>0</v>
      </c>
      <c r="D1497">
        <v>1</v>
      </c>
      <c r="E1497">
        <v>4</v>
      </c>
    </row>
    <row r="1498" spans="1:5" x14ac:dyDescent="0.2">
      <c r="A1498" t="s">
        <v>1509</v>
      </c>
      <c r="B1498" t="s">
        <v>46</v>
      </c>
      <c r="C1498">
        <v>0</v>
      </c>
      <c r="D1498">
        <v>0</v>
      </c>
      <c r="E1498">
        <v>70</v>
      </c>
    </row>
    <row r="1499" spans="1:5" x14ac:dyDescent="0.2">
      <c r="A1499" t="s">
        <v>1510</v>
      </c>
      <c r="B1499" t="s">
        <v>53</v>
      </c>
      <c r="C1499">
        <v>1</v>
      </c>
      <c r="D1499">
        <v>1</v>
      </c>
      <c r="E1499">
        <v>70</v>
      </c>
    </row>
    <row r="1500" spans="1:5" x14ac:dyDescent="0.2">
      <c r="A1500" t="s">
        <v>1511</v>
      </c>
      <c r="B1500" t="s">
        <v>17</v>
      </c>
      <c r="C1500">
        <v>1</v>
      </c>
      <c r="D1500">
        <v>1</v>
      </c>
      <c r="E1500">
        <v>4</v>
      </c>
    </row>
    <row r="1501" spans="1:5" x14ac:dyDescent="0.2">
      <c r="A1501" t="s">
        <v>1512</v>
      </c>
      <c r="B1501" t="s">
        <v>40</v>
      </c>
      <c r="C1501">
        <v>1</v>
      </c>
      <c r="D1501">
        <v>1</v>
      </c>
      <c r="E1501">
        <v>70</v>
      </c>
    </row>
  </sheetData>
  <mergeCells count="24">
    <mergeCell ref="O81:P81"/>
    <mergeCell ref="H88:J88"/>
    <mergeCell ref="H89:J89"/>
    <mergeCell ref="N99:T99"/>
    <mergeCell ref="O100:P100"/>
    <mergeCell ref="H55:J55"/>
    <mergeCell ref="N60:T60"/>
    <mergeCell ref="O61:P61"/>
    <mergeCell ref="H71:J71"/>
    <mergeCell ref="H72:J72"/>
    <mergeCell ref="N80:T80"/>
    <mergeCell ref="O22:P22"/>
    <mergeCell ref="H37:J37"/>
    <mergeCell ref="H38:J38"/>
    <mergeCell ref="N40:T40"/>
    <mergeCell ref="O41:P41"/>
    <mergeCell ref="H54:J54"/>
    <mergeCell ref="H2:J2"/>
    <mergeCell ref="N2:T2"/>
    <mergeCell ref="H3:J3"/>
    <mergeCell ref="O3:P3"/>
    <mergeCell ref="H20:J20"/>
    <mergeCell ref="H21:J21"/>
    <mergeCell ref="N21:T21"/>
  </mergeCells>
  <conditionalFormatting sqref="S6:T1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5:T3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T5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4:T7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4:T9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3:T11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predictions2_finetuned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Paanugoban Kugathasan</dc:creator>
  <cp:lastModifiedBy>Paanugoban Kugathasan</cp:lastModifiedBy>
  <dcterms:created xsi:type="dcterms:W3CDTF">2023-11-21T16:53:58Z</dcterms:created>
  <dcterms:modified xsi:type="dcterms:W3CDTF">2023-11-21T17:00:27Z</dcterms:modified>
</cp:coreProperties>
</file>