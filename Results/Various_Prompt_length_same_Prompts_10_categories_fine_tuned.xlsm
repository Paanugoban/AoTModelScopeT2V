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13_ncr:40009_{110C110B-DF56-EE4B-B175-7B303037F252}" xr6:coauthVersionLast="47" xr6:coauthVersionMax="47" xr10:uidLastSave="{00000000-0000-0000-0000-000000000000}"/>
  <bookViews>
    <workbookView xWindow="0" yWindow="760" windowWidth="30240" windowHeight="17780"/>
  </bookViews>
  <sheets>
    <sheet name="predictions1_finetuned" sheetId="1" r:id="rId1"/>
  </sheets>
  <calcPr calcId="0"/>
</workbook>
</file>

<file path=xl/calcChain.xml><?xml version="1.0" encoding="utf-8"?>
<calcChain xmlns="http://schemas.openxmlformats.org/spreadsheetml/2006/main">
  <c r="K91" i="1" l="1"/>
  <c r="J101" i="1" s="1"/>
  <c r="J91" i="1"/>
  <c r="N90" i="1" a="1"/>
  <c r="K90" i="1"/>
  <c r="J93" i="1" s="1"/>
  <c r="J90" i="1"/>
  <c r="J96" i="1" s="1"/>
  <c r="R83" i="1"/>
  <c r="O82" i="1"/>
  <c r="Q81" i="1"/>
  <c r="R80" i="1"/>
  <c r="J80" i="1"/>
  <c r="O79" i="1"/>
  <c r="J79" i="1"/>
  <c r="J81" i="1" s="1"/>
  <c r="R78" i="1"/>
  <c r="R77" i="1"/>
  <c r="O76" i="1"/>
  <c r="R75" i="1"/>
  <c r="R74" i="1"/>
  <c r="K74" i="1"/>
  <c r="J83" i="1" s="1"/>
  <c r="J74" i="1"/>
  <c r="N73" i="1" a="1"/>
  <c r="K73" i="1"/>
  <c r="J73" i="1"/>
  <c r="R66" i="1"/>
  <c r="O65" i="1"/>
  <c r="O64" i="1"/>
  <c r="R63" i="1"/>
  <c r="O62" i="1"/>
  <c r="P61" i="1"/>
  <c r="R60" i="1"/>
  <c r="O59" i="1"/>
  <c r="P58" i="1"/>
  <c r="R57" i="1"/>
  <c r="K57" i="1"/>
  <c r="J66" i="1" s="1"/>
  <c r="J57" i="1"/>
  <c r="N56" i="1" a="1"/>
  <c r="K56" i="1"/>
  <c r="J56" i="1"/>
  <c r="J62" i="1" s="1"/>
  <c r="P49" i="1"/>
  <c r="O49" i="1"/>
  <c r="R47" i="1"/>
  <c r="P47" i="1"/>
  <c r="O47" i="1"/>
  <c r="S47" i="1" s="1"/>
  <c r="P46" i="1"/>
  <c r="O46" i="1"/>
  <c r="Q44" i="1"/>
  <c r="P44" i="1"/>
  <c r="T44" i="1" s="1"/>
  <c r="P43" i="1"/>
  <c r="O43" i="1"/>
  <c r="Q41" i="1"/>
  <c r="P41" i="1"/>
  <c r="T41" i="1" s="1"/>
  <c r="P40" i="1"/>
  <c r="O40" i="1"/>
  <c r="K40" i="1"/>
  <c r="J49" i="1" s="1"/>
  <c r="J40" i="1"/>
  <c r="N39" i="1" a="1"/>
  <c r="K39" i="1"/>
  <c r="J39" i="1"/>
  <c r="J46" i="1" s="1"/>
  <c r="R32" i="1"/>
  <c r="Q32" i="1"/>
  <c r="T32" i="1" s="1"/>
  <c r="P32" i="1"/>
  <c r="Q31" i="1"/>
  <c r="T31" i="1" s="1"/>
  <c r="P31" i="1"/>
  <c r="O31" i="1"/>
  <c r="R29" i="1"/>
  <c r="Q29" i="1"/>
  <c r="T29" i="1" s="1"/>
  <c r="P29" i="1"/>
  <c r="Q28" i="1"/>
  <c r="T28" i="1" s="1"/>
  <c r="P28" i="1"/>
  <c r="O28" i="1"/>
  <c r="J28" i="1"/>
  <c r="J30" i="1" s="1"/>
  <c r="R26" i="1"/>
  <c r="Q26" i="1"/>
  <c r="T26" i="1" s="1"/>
  <c r="P26" i="1"/>
  <c r="Q25" i="1"/>
  <c r="T25" i="1" s="1"/>
  <c r="P25" i="1"/>
  <c r="O25" i="1"/>
  <c r="J25" i="1"/>
  <c r="R23" i="1"/>
  <c r="Q23" i="1"/>
  <c r="T23" i="1" s="1"/>
  <c r="P23" i="1"/>
  <c r="K23" i="1"/>
  <c r="J32" i="1" s="1"/>
  <c r="J23" i="1"/>
  <c r="N22" i="1" a="1"/>
  <c r="K22" i="1"/>
  <c r="J22" i="1"/>
  <c r="J29" i="1" s="1"/>
  <c r="J15" i="1"/>
  <c r="K5" i="1"/>
  <c r="J14" i="1" s="1"/>
  <c r="J16" i="1" s="1"/>
  <c r="J5" i="1"/>
  <c r="J10" i="1" s="1"/>
  <c r="N4" i="1" a="1"/>
  <c r="K4" i="1"/>
  <c r="J7" i="1" s="1"/>
  <c r="J4" i="1"/>
  <c r="P83" i="1" l="1"/>
  <c r="P80" i="1"/>
  <c r="P77" i="1"/>
  <c r="P74" i="1"/>
  <c r="O83" i="1"/>
  <c r="S83" i="1" s="1"/>
  <c r="R81" i="1"/>
  <c r="O80" i="1"/>
  <c r="S80" i="1" s="1"/>
  <c r="O77" i="1"/>
  <c r="S77" i="1" s="1"/>
  <c r="O74" i="1"/>
  <c r="S74" i="1" s="1"/>
  <c r="P81" i="1"/>
  <c r="Q78" i="1"/>
  <c r="Q75" i="1"/>
  <c r="O81" i="1"/>
  <c r="S81" i="1" s="1"/>
  <c r="P78" i="1"/>
  <c r="P75" i="1"/>
  <c r="N73" i="1"/>
  <c r="R82" i="1"/>
  <c r="R79" i="1"/>
  <c r="O78" i="1"/>
  <c r="S78" i="1" s="1"/>
  <c r="R76" i="1"/>
  <c r="O75" i="1"/>
  <c r="S75" i="1" s="1"/>
  <c r="Q13" i="1"/>
  <c r="Q10" i="1"/>
  <c r="Q7" i="1"/>
  <c r="P13" i="1"/>
  <c r="P10" i="1"/>
  <c r="P7" i="1"/>
  <c r="R14" i="1"/>
  <c r="O13" i="1"/>
  <c r="R11" i="1"/>
  <c r="O10" i="1"/>
  <c r="R8" i="1"/>
  <c r="O7" i="1"/>
  <c r="R5" i="1"/>
  <c r="Q14" i="1"/>
  <c r="Q11" i="1"/>
  <c r="Q8" i="1"/>
  <c r="Q5" i="1"/>
  <c r="O14" i="1"/>
  <c r="R12" i="1"/>
  <c r="O11" i="1"/>
  <c r="S11" i="1" s="1"/>
  <c r="O8" i="1"/>
  <c r="S8" i="1" s="1"/>
  <c r="O5" i="1"/>
  <c r="P12" i="1"/>
  <c r="Q9" i="1"/>
  <c r="Q6" i="1"/>
  <c r="P14" i="1"/>
  <c r="P11" i="1"/>
  <c r="P8" i="1"/>
  <c r="P5" i="1"/>
  <c r="R13" i="1"/>
  <c r="R10" i="1"/>
  <c r="O9" i="1"/>
  <c r="R7" i="1"/>
  <c r="O6" i="1"/>
  <c r="T81" i="1"/>
  <c r="S82" i="1"/>
  <c r="Q47" i="1"/>
  <c r="T47" i="1" s="1"/>
  <c r="R44" i="1"/>
  <c r="R41" i="1"/>
  <c r="R48" i="1"/>
  <c r="R45" i="1"/>
  <c r="O44" i="1"/>
  <c r="R42" i="1"/>
  <c r="O41" i="1"/>
  <c r="S41" i="1" s="1"/>
  <c r="S65" i="1"/>
  <c r="Q65" i="1"/>
  <c r="Q62" i="1"/>
  <c r="Q59" i="1"/>
  <c r="P65" i="1"/>
  <c r="P62" i="1"/>
  <c r="P59" i="1"/>
  <c r="Q66" i="1"/>
  <c r="Q63" i="1"/>
  <c r="T63" i="1" s="1"/>
  <c r="Q60" i="1"/>
  <c r="T60" i="1" s="1"/>
  <c r="Q57" i="1"/>
  <c r="P66" i="1"/>
  <c r="P63" i="1"/>
  <c r="P60" i="1"/>
  <c r="P57" i="1"/>
  <c r="O66" i="1"/>
  <c r="S66" i="1" s="1"/>
  <c r="R64" i="1"/>
  <c r="S64" i="1" s="1"/>
  <c r="O63" i="1"/>
  <c r="S63" i="1" s="1"/>
  <c r="O60" i="1"/>
  <c r="S60" i="1" s="1"/>
  <c r="O57" i="1"/>
  <c r="S57" i="1" s="1"/>
  <c r="Q64" i="1"/>
  <c r="R61" i="1"/>
  <c r="R58" i="1"/>
  <c r="N56" i="1"/>
  <c r="P64" i="1"/>
  <c r="Q61" i="1"/>
  <c r="T61" i="1" s="1"/>
  <c r="Q58" i="1"/>
  <c r="T58" i="1" s="1"/>
  <c r="R65" i="1"/>
  <c r="R62" i="1"/>
  <c r="S62" i="1" s="1"/>
  <c r="O61" i="1"/>
  <c r="R59" i="1"/>
  <c r="S59" i="1" s="1"/>
  <c r="O58" i="1"/>
  <c r="S58" i="1" s="1"/>
  <c r="O32" i="1"/>
  <c r="S32" i="1" s="1"/>
  <c r="R30" i="1"/>
  <c r="O29" i="1"/>
  <c r="S29" i="1" s="1"/>
  <c r="O26" i="1"/>
  <c r="S26" i="1" s="1"/>
  <c r="O23" i="1"/>
  <c r="S23" i="1" s="1"/>
  <c r="Q30" i="1"/>
  <c r="R27" i="1"/>
  <c r="R24" i="1"/>
  <c r="P30" i="1"/>
  <c r="Q27" i="1"/>
  <c r="T27" i="1" s="1"/>
  <c r="Q24" i="1"/>
  <c r="O30" i="1"/>
  <c r="S30" i="1" s="1"/>
  <c r="P27" i="1"/>
  <c r="P24" i="1"/>
  <c r="N22" i="1"/>
  <c r="R31" i="1"/>
  <c r="S31" i="1" s="1"/>
  <c r="R28" i="1"/>
  <c r="S28" i="1" s="1"/>
  <c r="O27" i="1"/>
  <c r="S27" i="1" s="1"/>
  <c r="R25" i="1"/>
  <c r="O24" i="1"/>
  <c r="S24" i="1" s="1"/>
  <c r="O98" i="1"/>
  <c r="S98" i="1" s="1"/>
  <c r="P95" i="1"/>
  <c r="P92" i="1"/>
  <c r="N90" i="1"/>
  <c r="R99" i="1"/>
  <c r="R96" i="1"/>
  <c r="O95" i="1"/>
  <c r="R93" i="1"/>
  <c r="O92" i="1"/>
  <c r="S76" i="1"/>
  <c r="S40" i="1"/>
  <c r="S25" i="1"/>
  <c r="S79" i="1"/>
  <c r="N4" i="1"/>
  <c r="P6" i="1"/>
  <c r="P9" i="1"/>
  <c r="O12" i="1"/>
  <c r="S12" i="1" s="1"/>
  <c r="J67" i="1"/>
  <c r="J68" i="1" s="1"/>
  <c r="Q74" i="1"/>
  <c r="T74" i="1" s="1"/>
  <c r="J76" i="1"/>
  <c r="J77" i="1" s="1"/>
  <c r="Q77" i="1"/>
  <c r="T77" i="1" s="1"/>
  <c r="Q80" i="1"/>
  <c r="T80" i="1" s="1"/>
  <c r="Q83" i="1"/>
  <c r="T83" i="1" s="1"/>
  <c r="Q92" i="1"/>
  <c r="T92" i="1" s="1"/>
  <c r="Q95" i="1"/>
  <c r="P98" i="1"/>
  <c r="N39" i="1"/>
  <c r="R6" i="1"/>
  <c r="J8" i="1"/>
  <c r="R9" i="1"/>
  <c r="J11" i="1"/>
  <c r="J12" i="1" s="1"/>
  <c r="Q12" i="1"/>
  <c r="R92" i="1"/>
  <c r="J94" i="1"/>
  <c r="R95" i="1"/>
  <c r="J97" i="1"/>
  <c r="J98" i="1" s="1"/>
  <c r="Q98" i="1"/>
  <c r="J100" i="1"/>
  <c r="J102" i="1" s="1"/>
  <c r="P76" i="1"/>
  <c r="P79" i="1"/>
  <c r="P82" i="1"/>
  <c r="O91" i="1"/>
  <c r="O94" i="1"/>
  <c r="S94" i="1" s="1"/>
  <c r="O97" i="1"/>
  <c r="R98" i="1"/>
  <c r="O100" i="1"/>
  <c r="S100" i="1" s="1"/>
  <c r="J33" i="1"/>
  <c r="J34" i="1" s="1"/>
  <c r="Q40" i="1"/>
  <c r="T40" i="1" s="1"/>
  <c r="J42" i="1"/>
  <c r="J43" i="1" s="1"/>
  <c r="Q43" i="1"/>
  <c r="T43" i="1" s="1"/>
  <c r="J45" i="1"/>
  <c r="J47" i="1" s="1"/>
  <c r="Q46" i="1"/>
  <c r="T46" i="1" s="1"/>
  <c r="Q49" i="1"/>
  <c r="T49" i="1" s="1"/>
  <c r="R40" i="1"/>
  <c r="O42" i="1"/>
  <c r="S42" i="1" s="1"/>
  <c r="R43" i="1"/>
  <c r="S43" i="1" s="1"/>
  <c r="O45" i="1"/>
  <c r="S45" i="1" s="1"/>
  <c r="R46" i="1"/>
  <c r="S46" i="1" s="1"/>
  <c r="O48" i="1"/>
  <c r="S48" i="1" s="1"/>
  <c r="R49" i="1"/>
  <c r="S49" i="1" s="1"/>
  <c r="J63" i="1"/>
  <c r="J64" i="1" s="1"/>
  <c r="Q76" i="1"/>
  <c r="Q79" i="1"/>
  <c r="Q82" i="1"/>
  <c r="T82" i="1" s="1"/>
  <c r="P91" i="1"/>
  <c r="P94" i="1"/>
  <c r="P97" i="1"/>
  <c r="P100" i="1"/>
  <c r="P42" i="1"/>
  <c r="P45" i="1"/>
  <c r="P48" i="1"/>
  <c r="J84" i="1"/>
  <c r="J85" i="1" s="1"/>
  <c r="Q91" i="1"/>
  <c r="Q94" i="1"/>
  <c r="T94" i="1" s="1"/>
  <c r="Q97" i="1"/>
  <c r="T97" i="1" s="1"/>
  <c r="Q100" i="1"/>
  <c r="T100" i="1" s="1"/>
  <c r="J26" i="1"/>
  <c r="Q42" i="1"/>
  <c r="Q45" i="1"/>
  <c r="T45" i="1" s="1"/>
  <c r="Q48" i="1"/>
  <c r="R91" i="1"/>
  <c r="O93" i="1"/>
  <c r="S93" i="1" s="1"/>
  <c r="R94" i="1"/>
  <c r="O96" i="1"/>
  <c r="S96" i="1" s="1"/>
  <c r="R97" i="1"/>
  <c r="O99" i="1"/>
  <c r="S99" i="1" s="1"/>
  <c r="R100" i="1"/>
  <c r="J50" i="1"/>
  <c r="J51" i="1" s="1"/>
  <c r="J59" i="1"/>
  <c r="J60" i="1" s="1"/>
  <c r="P93" i="1"/>
  <c r="P96" i="1"/>
  <c r="P99" i="1"/>
  <c r="Q93" i="1"/>
  <c r="T93" i="1" s="1"/>
  <c r="Q96" i="1"/>
  <c r="T96" i="1" s="1"/>
  <c r="Q99" i="1"/>
  <c r="T99" i="1" s="1"/>
  <c r="T12" i="1" l="1"/>
  <c r="S14" i="1"/>
  <c r="S13" i="1"/>
  <c r="T7" i="1"/>
  <c r="T10" i="1"/>
  <c r="S10" i="1"/>
  <c r="T98" i="1"/>
  <c r="S92" i="1"/>
  <c r="T59" i="1"/>
  <c r="T5" i="1"/>
  <c r="T24" i="1"/>
  <c r="T62" i="1"/>
  <c r="T8" i="1"/>
  <c r="T95" i="1"/>
  <c r="T65" i="1"/>
  <c r="T6" i="1"/>
  <c r="T11" i="1"/>
  <c r="S95" i="1"/>
  <c r="T91" i="1"/>
  <c r="T79" i="1"/>
  <c r="S97" i="1"/>
  <c r="T64" i="1"/>
  <c r="T57" i="1"/>
  <c r="S6" i="1"/>
  <c r="T9" i="1"/>
  <c r="T14" i="1"/>
  <c r="S61" i="1"/>
  <c r="T42" i="1"/>
  <c r="T76" i="1"/>
  <c r="S91" i="1"/>
  <c r="S9" i="1"/>
  <c r="S5" i="1"/>
  <c r="S7" i="1"/>
  <c r="T48" i="1"/>
  <c r="T30" i="1"/>
  <c r="T66" i="1"/>
  <c r="T13" i="1"/>
  <c r="T75" i="1"/>
  <c r="T78" i="1"/>
  <c r="S4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<sst xmlns="http://schemas.openxmlformats.org/spreadsheetml/2006/main" count="2127" uniqueCount="1037">
  <si>
    <t>Video Title</t>
  </si>
  <si>
    <t>Category</t>
  </si>
  <si>
    <t>Actual Label</t>
  </si>
  <si>
    <t>Predicted Label</t>
  </si>
  <si>
    <t>Prompt Complexity</t>
  </si>
  <si>
    <t>Fencing_match_with_swords.4</t>
  </si>
  <si>
    <t>Fencing</t>
  </si>
  <si>
    <t>Detailed_cooking_scene_with_chef_cutting_ingredients.6</t>
  </si>
  <si>
    <t>Cutting in Kitchen</t>
  </si>
  <si>
    <t>Elaborate_athletic_event_with_a_discus_throw,_technique,_and_crowd_reaction.9</t>
  </si>
  <si>
    <t>Throw Discuss</t>
  </si>
  <si>
    <t>Elaborate_Taichi_performance_in_a_garden_focusing_on_harmony_and_precision.1</t>
  </si>
  <si>
    <t>Tai Chi</t>
  </si>
  <si>
    <t>Reverse_punching.4</t>
  </si>
  <si>
    <t>Punch</t>
  </si>
  <si>
    <t>Military_parade_with_uniformed_soldiers.8</t>
  </si>
  <si>
    <t>Military Parade</t>
  </si>
  <si>
    <t>Detailed_reverse_fencing_duel_with_parries_and_thrusts.2</t>
  </si>
  <si>
    <t>Detailed_cooking_scene_with_chef_cutting_ingredients.2</t>
  </si>
  <si>
    <t>Throwing_a_punch.9</t>
  </si>
  <si>
    <t>Dancers_performing_salsa_spins.7</t>
  </si>
  <si>
    <t>Salsa Spin</t>
  </si>
  <si>
    <t>Detailed_military_parade_with_marching_troops_and_vehicles.3</t>
  </si>
  <si>
    <t>Kitchen_cutting.5</t>
  </si>
  <si>
    <t>Boxer_punching_a_bag.7</t>
  </si>
  <si>
    <t>Salsa_spinning.5</t>
  </si>
  <si>
    <t>Throwing_a_punch.7</t>
  </si>
  <si>
    <t>Preparing_ingredients_by_reverse_cutting.3</t>
  </si>
  <si>
    <t>Detailed_reverse_military_parade_with_marching_troops_and_vehicles.5</t>
  </si>
  <si>
    <t>Discus_throw_in_a_field.2</t>
  </si>
  <si>
    <t>Taichi_routine_in_a_garden.4</t>
  </si>
  <si>
    <t>Chef_cutting_vegetables_backward.8</t>
  </si>
  <si>
    <t>A_diver_performing_a_dive_backward.4</t>
  </si>
  <si>
    <t>Diving</t>
  </si>
  <si>
    <t>Elaborate_reverse_kitchen_scene_with_intricate_backward_cutting_for_a_gourmet_recipe.8</t>
  </si>
  <si>
    <t>Person_and_dog_walking_backward_in_a_park.8</t>
  </si>
  <si>
    <t>Walking With Dog</t>
  </si>
  <si>
    <t>Riding_a_horse_backward.8</t>
  </si>
  <si>
    <t>Horse Riding</t>
  </si>
  <si>
    <t>Elaborate_reverse_boxing_sequence_with_punches,_defense,_and_footwork.1</t>
  </si>
  <si>
    <t>Detailed_scene_of_walking_a_dog_through_a_busy_park.9</t>
  </si>
  <si>
    <t>Reverse_salsa_dance.5</t>
  </si>
  <si>
    <t>Reverse_discus_throw_in_a_field.2</t>
  </si>
  <si>
    <t>Elaborate_fencing_tournament_with_swordplay_and_strategic_movements.7</t>
  </si>
  <si>
    <t>Elaborate_reverse_military_parade_with_bands,_soldiers,_tanks,_and_reverse_flyovers.8</t>
  </si>
  <si>
    <t>Detailed_military_parade_with_marching_troops_and_vehicles.6</t>
  </si>
  <si>
    <t>Salsa_spinning_backward.4</t>
  </si>
  <si>
    <t>An_elaborate_reverse_salsa_routine_with_backward_spins_and_footwork_in_a_dance_hall.4</t>
  </si>
  <si>
    <t>Detailed_scene_of_a_diver_executing_a_complex_dive.6</t>
  </si>
  <si>
    <t>Kitchen_cutting.0</t>
  </si>
  <si>
    <t>Detailed_reverse_military_parade_with_marching_troops_and_vehicles.0</t>
  </si>
  <si>
    <t>Elaborate_military_parade_with_bands,_soldiers,_tanks,_and_flyovers.7</t>
  </si>
  <si>
    <t>Elaborate_reverse_athletic_event_with_a_discus_throw,_backward_technique,_and_crowd_reaction.2</t>
  </si>
  <si>
    <t>Reverse_military_parade.7</t>
  </si>
  <si>
    <t>Practicing_Taichi_backward.0</t>
  </si>
  <si>
    <t>A_diver_performing_a_dive.1</t>
  </si>
  <si>
    <t>Salsa_spinning.7</t>
  </si>
  <si>
    <t>An_elaborate_reverse_salsa_routine_with_backward_spins_and_footwork_in_a_dance_hall.1</t>
  </si>
  <si>
    <t>Riding_a_horse_backward.7</t>
  </si>
  <si>
    <t>Dancers_performing_salsa_spins.1</t>
  </si>
  <si>
    <t>A_diver_performing_a_dive.3</t>
  </si>
  <si>
    <t>Chef_cutting_vegetables.0</t>
  </si>
  <si>
    <t>Soldiers_marching.2</t>
  </si>
  <si>
    <t>Diving_into_a_pool.6</t>
  </si>
  <si>
    <t>Detailed_reverse_horse_riding_scene_with_backward_galloping.9</t>
  </si>
  <si>
    <t>Elaborate_reverse_diving_sequence_with_backward_twists_and_turns.6</t>
  </si>
  <si>
    <t>Elaborate_reverse_athletic_event_with_a_discus_throw,_backward_technique,_and_crowd_reaction.0</t>
  </si>
  <si>
    <t>Detailed_scene_of_walking_a_dog_through_a_busy_park.5</t>
  </si>
  <si>
    <t>Stroll_with_a_dog.8</t>
  </si>
  <si>
    <t>Boxer_punching_a_bag.3</t>
  </si>
  <si>
    <t>Elaborate_equestrian_event_with_jumps,_sprints,_and_coordination.6</t>
  </si>
  <si>
    <t>Elaborate_reverse_boxing_sequence_with_punches,_defense,_and_footwork.9</t>
  </si>
  <si>
    <t>A_detailed_salsa_dance_with_spins_and_turns.7</t>
  </si>
  <si>
    <t>Detailed_scene_of_an_athlete_throwing_a_discus.5</t>
  </si>
  <si>
    <t>Boxer_punching_a_bag.6</t>
  </si>
  <si>
    <t>Military_parade.3</t>
  </si>
  <si>
    <t>Reverse_fencing_match_with_swords.5</t>
  </si>
  <si>
    <t>Reverse_military_parade.8</t>
  </si>
  <si>
    <t>Throwing_a_discus.1</t>
  </si>
  <si>
    <t>Fencing.4</t>
  </si>
  <si>
    <t>Fencing.9</t>
  </si>
  <si>
    <t>Reverse_Taichi.4</t>
  </si>
  <si>
    <t>Reverse_military_parade.3</t>
  </si>
  <si>
    <t>Detailed_reverse_cooking_scene_with_chef_cutting_ingredients.6</t>
  </si>
  <si>
    <t>Reverse_punching.6</t>
  </si>
  <si>
    <t>Riding_a_horse.6</t>
  </si>
  <si>
    <t>Practicing_Taichi.7</t>
  </si>
  <si>
    <t>Chef_cutting_vegetables.4</t>
  </si>
  <si>
    <t>Detailed_horse_riding_scene_with_galloping_and_rider_control.2</t>
  </si>
  <si>
    <t>Reverse_diving_into_a_pool.4</t>
  </si>
  <si>
    <t>Elaborate_diving_sequence_with_twists,_turns,_and_water_entry.0</t>
  </si>
  <si>
    <t>Fencers_in_a_bout.2</t>
  </si>
  <si>
    <t>Elaborate_Taichi_performance_in_a_garden_focusing_on_harmony_and_precision.8</t>
  </si>
  <si>
    <t>Diving_into_a_pool.2</t>
  </si>
  <si>
    <t>Reverse_kitchen_cutting.3</t>
  </si>
  <si>
    <t>High_dive_from_a_board.9</t>
  </si>
  <si>
    <t>Elaborate_boxing_sequence_with_punches,_defense,_and_footwork.5</t>
  </si>
  <si>
    <t>Detailed_reverse_military_parade_with_marching_troops_and_vehicles.2</t>
  </si>
  <si>
    <t>Diving_into_a_pool.3</t>
  </si>
  <si>
    <t>Detailed_reverse_fencing_duel_with_parries_and_thrusts.9</t>
  </si>
  <si>
    <t>Elaborate_diving_sequence_with_twists,_turns,_and_water_entry.7</t>
  </si>
  <si>
    <t>Taichi_routine_in_a_garden.9</t>
  </si>
  <si>
    <t>Detailed_boxing_match_focusing_on_punches.2</t>
  </si>
  <si>
    <t>Riding_a_horse_backward.2</t>
  </si>
  <si>
    <t>A_detailed_reverse_salsa_dance_with_spins_and_turns.0</t>
  </si>
  <si>
    <t>Elaborate_fencing_tournament_with_swordplay_and_strategic_movements.5</t>
  </si>
  <si>
    <t>Elaborate_fencing_tournament_with_swordplay_and_strategic_movements.4</t>
  </si>
  <si>
    <t>Diving_into_a_pool.7</t>
  </si>
  <si>
    <t>Punching.2</t>
  </si>
  <si>
    <t>Military_parade_with_uniformed_soldiers.4</t>
  </si>
  <si>
    <t>Elaborate_boxing_sequence_with_punches,_defense,_and_footwork.7</t>
  </si>
  <si>
    <t>High_dive_from_a_board.3</t>
  </si>
  <si>
    <t>A_detailed_salsa_dance_with_spins_and_turns.6</t>
  </si>
  <si>
    <t>Stroll_with_a_dog.4</t>
  </si>
  <si>
    <t>Detailed_boxing_match_focusing_on_punches.8</t>
  </si>
  <si>
    <t>Elaborate_reverse_equestrian_event_with_backward_jumps_and_sprints.6</t>
  </si>
  <si>
    <t>Salsa_spinning.8</t>
  </si>
  <si>
    <t>Reverse_throwing_a_discus.4</t>
  </si>
  <si>
    <t>Reverse_diving_into_a_pool.5</t>
  </si>
  <si>
    <t>Riding_a_horse.5</t>
  </si>
  <si>
    <t>Reverse_punching.1</t>
  </si>
  <si>
    <t>Reverse_salsa_dance.8</t>
  </si>
  <si>
    <t>Detailed_reverse_scene_of_a_diver_executing_a_complex_dive.1</t>
  </si>
  <si>
    <t>Elaborate_morning_walk_with_a_dog,_encountering_other_park-goers_and_animals.8</t>
  </si>
  <si>
    <t>Salsa_dance.5</t>
  </si>
  <si>
    <t>iÃà¬ª¬øSalsa Spin</t>
  </si>
  <si>
    <t>Military_parade.9</t>
  </si>
  <si>
    <t>Salsa_spinning.1</t>
  </si>
  <si>
    <t>Athlete_throwing_a_discus.2</t>
  </si>
  <si>
    <t>Detailed_cooking_scene_with_chef_cutting_ingredients.8</t>
  </si>
  <si>
    <t>Throwing_a_punch_backward.6</t>
  </si>
  <si>
    <t>Elaborate_Taichi_performance_in_a_garden_focusing_on_harmony_and_precision.2</t>
  </si>
  <si>
    <t>Reverse_Taichi_routine_in_a_garden.6</t>
  </si>
  <si>
    <t>High_dive_from_a_board_in_reverse.3</t>
  </si>
  <si>
    <t>Reverse_salsa_dance.7</t>
  </si>
  <si>
    <t>Detailed_reverse_boxing_match_focusing_on_punches.6</t>
  </si>
  <si>
    <t>Throwing_a_punch_backward.9</t>
  </si>
  <si>
    <t>Preparing_ingredients_by_cutting.2</t>
  </si>
  <si>
    <t>Detailed_reverse_scene_of_walking_a_dog_through_a_busy_park.6</t>
  </si>
  <si>
    <t>Elaborate_reverse_Taichi_performance_in_a_garden_focusing_on_harmony_and_precision.3</t>
  </si>
  <si>
    <t>Athlete_throwing_a_discus.0</t>
  </si>
  <si>
    <t>Detailed_cooking_scene_with_chef_cutting_ingredients.9</t>
  </si>
  <si>
    <t>Elaborate_boxing_sequence_with_punches,_defense,_and_footwork.9</t>
  </si>
  <si>
    <t>Elaborate_athletic_event_with_a_discus_throw,_technique,_and_crowd_reaction.4</t>
  </si>
  <si>
    <t>Practicing_Taichi.5</t>
  </si>
  <si>
    <t>Boxer_punching_a_bag_in_reverse.7</t>
  </si>
  <si>
    <t>Backward_stroll_with_a_dog.8</t>
  </si>
  <si>
    <t>High_dive_from_a_board_in_reverse.7</t>
  </si>
  <si>
    <t>Walking_a_dog.4</t>
  </si>
  <si>
    <t>Throwing_a_punch.3</t>
  </si>
  <si>
    <t>Reverse_punching.8</t>
  </si>
  <si>
    <t>Detailed_scene_of_walking_a_dog_through_a_busy_park.6</t>
  </si>
  <si>
    <t>Athlete_throwing_a_discus_backward.2</t>
  </si>
  <si>
    <t>Fencers_in_a_bout.6</t>
  </si>
  <si>
    <t>Detailed_reverse_boxing_match_focusing_on_punches.9</t>
  </si>
  <si>
    <t>Soldiers_marching_backward.2</t>
  </si>
  <si>
    <t>Reverse_Taichi_routine_in_a_garden.3</t>
  </si>
  <si>
    <t>Detailed_reverse_scene_of_an_athlete_throwing_a_discus.3</t>
  </si>
  <si>
    <t>Reverse_throwing_a_discus.0</t>
  </si>
  <si>
    <t>Throwing_a_discus.2</t>
  </si>
  <si>
    <t>Person_and_dog_walking_in_a_park.6</t>
  </si>
  <si>
    <t>Reverse_diving_into_a_pool.3</t>
  </si>
  <si>
    <t>Reverse_fencing.1</t>
  </si>
  <si>
    <t>Elaborate_reverse_athletic_event_with_a_discus_throw,_backward_technique,_and_crowd_reaction.8</t>
  </si>
  <si>
    <t>Detailed_reverse_scene_of_a_diver_executing_a_complex_dive.2</t>
  </si>
  <si>
    <t>Dancers_performing_salsa_spins.0</t>
  </si>
  <si>
    <t>High_dive_from_a_board_in_reverse.4</t>
  </si>
  <si>
    <t>Reverse_discus_throw_in_a_field.5</t>
  </si>
  <si>
    <t>Elaborate_reverse_diving_sequence_with_backward_twists_and_turns.4</t>
  </si>
  <si>
    <t>Detailed_reverse_scene_of_an_athlete_throwing_a_discus.6</t>
  </si>
  <si>
    <t>Preparing_ingredients_by_cutting.9</t>
  </si>
  <si>
    <t>Soldiers_marching_backward.3</t>
  </si>
  <si>
    <t>Detailed_reverse_horse_riding_scene_with_backward_galloping.6</t>
  </si>
  <si>
    <t>Elaborate_reverse_diving_sequence_with_backward_twists_and_turns.9</t>
  </si>
  <si>
    <t>Diving_into_a_pool.4</t>
  </si>
  <si>
    <t>Boxer_punching_a_bag.8</t>
  </si>
  <si>
    <t>Elaborate_reverse_boxing_sequence_with_punches,_defense,_and_footwork.2</t>
  </si>
  <si>
    <t>Detailed_reverse_fencing_duel_with_parries_and_thrusts.5</t>
  </si>
  <si>
    <t>Elaborate_reverse_kitchen_scene_with_intricate_backward_cutting_for_a_gourmet_recipe.7</t>
  </si>
  <si>
    <t>Dancers_performing_salsa_spins.8</t>
  </si>
  <si>
    <t>Reverse_fencing.6</t>
  </si>
  <si>
    <t>Boxer_punching_a_bag_in_reverse.6</t>
  </si>
  <si>
    <t>High_dive_from_a_board_in_reverse.5</t>
  </si>
  <si>
    <t>Elaborate_reverse_equestrian_event_with_backward_jumps_and_sprints.0</t>
  </si>
  <si>
    <t>Reverse_walking_a_dog.9</t>
  </si>
  <si>
    <t>Fencing_match_with_swords.9</t>
  </si>
  <si>
    <t>Detailed_scene_of_a_diver_executing_a_complex_dive.9</t>
  </si>
  <si>
    <t>Backward_stroll_with_a_dog.6</t>
  </si>
  <si>
    <t>Person_and_dog_walking_in_a_park.7</t>
  </si>
  <si>
    <t>Backward_stroll_with_a_dog.1</t>
  </si>
  <si>
    <t>Practicing_Taichi.3</t>
  </si>
  <si>
    <t>Elaborate_kitchen_scene_with_intricate_cutting_for_a_gourmet_recipe.4</t>
  </si>
  <si>
    <t>Detailed_boxing_match_focusing_on_punches.0</t>
  </si>
  <si>
    <t>Fencing.1</t>
  </si>
  <si>
    <t>A_diver_performing_a_dive_backward.7</t>
  </si>
  <si>
    <t>Elaborate_reverse_athletic_event_with_a_discus_throw,_backward_technique,_and_crowd_reaction.7</t>
  </si>
  <si>
    <t>Elaborate_kitchen_scene_with_intricate_cutting_for_a_gourmet_recipe.6</t>
  </si>
  <si>
    <t>Person_and_dog_walking_backward_in_a_park.0</t>
  </si>
  <si>
    <t>Detailed_reverse_cooking_scene_with_chef_cutting_ingredients.9</t>
  </si>
  <si>
    <t>Fencers_in_a_reverse_bout.9</t>
  </si>
  <si>
    <t>Elaborate_kitchen_scene_with_intricate_cutting_for_a_gourmet_recipe.3</t>
  </si>
  <si>
    <t>Soldiers_marching_backward.0</t>
  </si>
  <si>
    <t>Detailed_scene_of_an_athlete_throwing_a_discus.8</t>
  </si>
  <si>
    <t>Elaborate_reverse_fencing_tournament_with_backward_swordplay_and_strategic_movements.5</t>
  </si>
  <si>
    <t>Elaborate_fencing_tournament_with_swordplay_and_strategic_movements.2</t>
  </si>
  <si>
    <t>Person_and_dog_walking_in_a_park.8</t>
  </si>
  <si>
    <t>Discus_throw_in_a_field.7</t>
  </si>
  <si>
    <t>Reverse_fencing_match_with_swords.6</t>
  </si>
  <si>
    <t>Preparing_ingredients_by_reverse_cutting.5</t>
  </si>
  <si>
    <t>Detailed_reverse_Taichi_sequence_with_fluid_movements.0</t>
  </si>
  <si>
    <t>Throwing_a_discus.6</t>
  </si>
  <si>
    <t>Throwing_a_punch.0</t>
  </si>
  <si>
    <t>Preparing_ingredients_by_reverse_cutting.0</t>
  </si>
  <si>
    <t>Reverse_walking_a_dog.6</t>
  </si>
  <si>
    <t>An_elaborate_reverse_salsa_routine_with_backward_spins_and_footwork_in_a_dance_hall.6</t>
  </si>
  <si>
    <t>Reverse_Taichi_routine_in_a_garden.1</t>
  </si>
  <si>
    <t>Reverse_discus_throw_in_a_field.7</t>
  </si>
  <si>
    <t>Reverse_fencing.4</t>
  </si>
  <si>
    <t>Fencers_in_a_bout.7</t>
  </si>
  <si>
    <t>Throwing_a_discus.3</t>
  </si>
  <si>
    <t>Elaborate_reverse_Taichi_performance_in_a_garden_focusing_on_harmony_and_precision.8</t>
  </si>
  <si>
    <t>Reverse_diving_into_a_pool.0</t>
  </si>
  <si>
    <t>Detailed_reverse_scene_of_walking_a_dog_through_a_busy_park.9</t>
  </si>
  <si>
    <t>Throwing_a_punch_backward.1</t>
  </si>
  <si>
    <t>Detailed_military_parade_with_marching_troops_and_vehicles.2</t>
  </si>
  <si>
    <t>Reverse_horse_riding.4</t>
  </si>
  <si>
    <t>Practicing_Taichi.4</t>
  </si>
  <si>
    <t>Chef_cutting_vegetables_backward.6</t>
  </si>
  <si>
    <t>Reverse_discus_throw_in_a_field.0</t>
  </si>
  <si>
    <t>Elaborate_reverse_diving_sequence_with_backward_twists_and_turns.0</t>
  </si>
  <si>
    <t>Horse_and_rider_galloping.4</t>
  </si>
  <si>
    <t>Detailed_Taichi_sequence_with_fluid_movements.7</t>
  </si>
  <si>
    <t>Elaborate_fencing_tournament_with_swordplay_and_strategic_movements.1</t>
  </si>
  <si>
    <t>An_elaborate_salsa_routine_with_multiple_spins_and_elaborate_footwork_in_a_dance_hall.5</t>
  </si>
  <si>
    <t>Person_and_dog_walking_backward_in_a_park.3</t>
  </si>
  <si>
    <t>Reverse_punching.3</t>
  </si>
  <si>
    <t>Stroll_with_a_dog.5</t>
  </si>
  <si>
    <t>Detailed_reverse_cooking_scene_with_chef_cutting_ingredients.8</t>
  </si>
  <si>
    <t>Dancers_performing_reverse_salsa_spins.0</t>
  </si>
  <si>
    <t>Detailed_reverse_scene_of_walking_a_dog_through_a_busy_park.2</t>
  </si>
  <si>
    <t>Reverse_military_parade.4</t>
  </si>
  <si>
    <t>Preparing_ingredients_by_cutting.4</t>
  </si>
  <si>
    <t>Elaborate_reverse_kitchen_scene_with_intricate_backward_cutting_for_a_gourmet_recipe.3</t>
  </si>
  <si>
    <t>Diving_into_a_pool.5</t>
  </si>
  <si>
    <t>Elaborate_reverse_athletic_event_with_a_discus_throw,_backward_technique,_and_crowd_reaction.3</t>
  </si>
  <si>
    <t>Reverse_military_parade_with_soldiers.0</t>
  </si>
  <si>
    <t>Dancers_performing_reverse_salsa_spins.5</t>
  </si>
  <si>
    <t>Walking_a_dog.5</t>
  </si>
  <si>
    <t>Detailed_horse_riding_scene_with_galloping_and_rider_control.7</t>
  </si>
  <si>
    <t>Detailed_reverse_scene_of_an_athlete_throwing_a_discus.9</t>
  </si>
  <si>
    <t>Detailed_reverse_horse_riding_scene_with_backward_galloping.8</t>
  </si>
  <si>
    <t>Elaborate_reverse_military_parade_with_bands,_soldiers,_tanks,_and_reverse_flyovers.5</t>
  </si>
  <si>
    <t>Walking_a_dog.3</t>
  </si>
  <si>
    <t>Walking_a_dog.8</t>
  </si>
  <si>
    <t>Elaborate_reverse_athletic_event_with_a_discus_throw,_backward_technique,_and_crowd_reaction.5</t>
  </si>
  <si>
    <t>Person_and_dog_walking_backward_in_a_park.7</t>
  </si>
  <si>
    <t>Elaborate_kitchen_scene_with_intricate_cutting_for_a_gourmet_recipe.8</t>
  </si>
  <si>
    <t>Chef_cutting_vegetables_backward.1</t>
  </si>
  <si>
    <t>Elaborate_fencing_tournament_with_swordplay_and_strategic_movements.9</t>
  </si>
  <si>
    <t>A_diver_performing_a_dive.5</t>
  </si>
  <si>
    <t>Reverse_horse_riding.3</t>
  </si>
  <si>
    <t>A_diver_performing_a_dive.2</t>
  </si>
  <si>
    <t>Person_and_dog_walking_in_a_park.2</t>
  </si>
  <si>
    <t>Reverse_horse_riding.6</t>
  </si>
  <si>
    <t>Detailed_Taichi_sequence_with_fluid_movements.1</t>
  </si>
  <si>
    <t>Soldiers_marching.0</t>
  </si>
  <si>
    <t>Reverse_Taichi.9</t>
  </si>
  <si>
    <t>Detailed_scene_of_a_diver_executing_a_complex_dive.8</t>
  </si>
  <si>
    <t>Chef_cutting_vegetables_backward.7</t>
  </si>
  <si>
    <t>Stroll_with_a_dog.0</t>
  </si>
  <si>
    <t>Salsa_spinning_backward.5</t>
  </si>
  <si>
    <t>Walking_a_dog.6</t>
  </si>
  <si>
    <t>Elaborate_reverse_fencing_tournament_with_backward_swordplay_and_strategic_movements.4</t>
  </si>
  <si>
    <t>Reverse_walking_a_dog.3</t>
  </si>
  <si>
    <t>A_detailed_salsa_dance_with_spins_and_turns.4</t>
  </si>
  <si>
    <t>Reverse_fencing.8</t>
  </si>
  <si>
    <t>A_detailed_salsa_dance_with_spins_and_turns.3</t>
  </si>
  <si>
    <t>Detailed_reverse_horse_riding_scene_with_backward_galloping.5</t>
  </si>
  <si>
    <t>Elaborate_boxing_sequence_with_punches,_defense,_and_footwork.0</t>
  </si>
  <si>
    <t>Detailed_reverse_scene_of_walking_a_dog_through_a_busy_park.8</t>
  </si>
  <si>
    <t>Fencing_match_with_swords.1</t>
  </si>
  <si>
    <t>An_elaborate_reverse_salsa_routine_with_backward_spins_and_footwork_in_a_dance_hall.5</t>
  </si>
  <si>
    <t>Detailed_reverse_fencing_duel_with_parries_and_thrusts.0</t>
  </si>
  <si>
    <t>Reverse_military_parade_with_soldiers.8</t>
  </si>
  <si>
    <t>Detailed_fencing_duel_with_parries_and_thrusts.3</t>
  </si>
  <si>
    <t>Detailed_reverse_boxing_match_focusing_on_punches.8</t>
  </si>
  <si>
    <t>Punching.6</t>
  </si>
  <si>
    <t>Reverse_horse_riding.5</t>
  </si>
  <si>
    <t>Riding_a_horse.9</t>
  </si>
  <si>
    <t>Preparing_ingredients_by_reverse_cutting.4</t>
  </si>
  <si>
    <t>Boxer_punching_a_bag_in_reverse.2</t>
  </si>
  <si>
    <t>Soldiers_marching.9</t>
  </si>
  <si>
    <t>High_dive_from_a_board.7</t>
  </si>
  <si>
    <t>Salsa_dance.8</t>
  </si>
  <si>
    <t>Elaborate_reverse_equestrian_event_with_backward_jumps_and_sprints.2</t>
  </si>
  <si>
    <t>Preparing_ingredients_by_cutting.0</t>
  </si>
  <si>
    <t>Reverse_military_parade_with_soldiers.3</t>
  </si>
  <si>
    <t>Detailed_reverse_scene_of_a_diver_executing_a_complex_dive.4</t>
  </si>
  <si>
    <t>Reverse_military_parade_with_soldiers.4</t>
  </si>
  <si>
    <t>Reverse_kitchen_cutting.7</t>
  </si>
  <si>
    <t>Military_parade_with_uniformed_soldiers.0</t>
  </si>
  <si>
    <t>Preparing_ingredients_by_reverse_cutting.9</t>
  </si>
  <si>
    <t>Stroll_with_a_dog.3</t>
  </si>
  <si>
    <t>A_diver_performing_a_dive_backward.9</t>
  </si>
  <si>
    <t>Detailed_boxing_match_focusing_on_punches.5</t>
  </si>
  <si>
    <t>Detailed_scene_of_walking_a_dog_through_a_busy_park.0</t>
  </si>
  <si>
    <t>Reverse_salsa_dance.2</t>
  </si>
  <si>
    <t>Detailed_horse_riding_scene_with_galloping_and_rider_control.6</t>
  </si>
  <si>
    <t>Soldiers_marching_backward.9</t>
  </si>
  <si>
    <t>Backward_stroll_with_a_dog.2</t>
  </si>
  <si>
    <t>Athlete_throwing_a_discus_backward.0</t>
  </si>
  <si>
    <t>A_detailed_salsa_dance_with_spins_and_turns.1</t>
  </si>
  <si>
    <t>Punching.5</t>
  </si>
  <si>
    <t>Elaborate_equestrian_event_with_jumps,_sprints,_and_coordination.1</t>
  </si>
  <si>
    <t>Elaborate_military_parade_with_bands,_soldiers,_tanks,_and_flyovers.3</t>
  </si>
  <si>
    <t>Discus_throw_in_a_field.9</t>
  </si>
  <si>
    <t>Elaborate_boxing_sequence_with_punches,_defense,_and_footwork.6</t>
  </si>
  <si>
    <t>Preparing_ingredients_by_cutting.1</t>
  </si>
  <si>
    <t>Practicing_Taichi_backward.1</t>
  </si>
  <si>
    <t>Elaborate_reverse_fencing_tournament_with_backward_swordplay_and_strategic_movements.8</t>
  </si>
  <si>
    <t>Horse_riding.7</t>
  </si>
  <si>
    <t>Backward_stroll_with_a_dog.5</t>
  </si>
  <si>
    <t>Reverse_military_parade.0</t>
  </si>
  <si>
    <t>Detailed_reverse_horse_riding_scene_with_backward_galloping.1</t>
  </si>
  <si>
    <t>Salsa_spinning_backward.6</t>
  </si>
  <si>
    <t>Reverse_horse_riding.1</t>
  </si>
  <si>
    <t>Salsa_dance.4</t>
  </si>
  <si>
    <t>A_detailed_reverse_salsa_dance_with_spins_and_turns.2</t>
  </si>
  <si>
    <t>Horse_and_rider_galloping_in_reverse.3</t>
  </si>
  <si>
    <t>Soldiers_marching_backward.5</t>
  </si>
  <si>
    <t>Detailed_scene_of_a_diver_executing_a_complex_dive.7</t>
  </si>
  <si>
    <t>Detailed_reverse_boxing_match_focusing_on_punches.0</t>
  </si>
  <si>
    <t>Elaborate_reverse_fencing_tournament_with_backward_swordplay_and_strategic_movements.0</t>
  </si>
  <si>
    <t>Horse_and_rider_galloping.3</t>
  </si>
  <si>
    <t>Reverse_Taichi.0</t>
  </si>
  <si>
    <t>Reverse_walking_a_dog.7</t>
  </si>
  <si>
    <t>Soldiers_marching.3</t>
  </si>
  <si>
    <t>Detailed_reverse_scene_of_a_diver_executing_a_complex_dive.0</t>
  </si>
  <si>
    <t>Person_and_dog_walking_in_a_park.3</t>
  </si>
  <si>
    <t>Elaborate_kitchen_scene_with_intricate_cutting_for_a_gourmet_recipe.9</t>
  </si>
  <si>
    <t>A_diver_performing_a_dive_backward.2</t>
  </si>
  <si>
    <t>Horse_riding.8</t>
  </si>
  <si>
    <t>Elaborate_morning_walk_with_a_dog,_encountering_other_park-goers_and_animals.3</t>
  </si>
  <si>
    <t>Throwing_a_punch_backward.7</t>
  </si>
  <si>
    <t>A_detailed_salsa_dance_with_spins_and_turns.2</t>
  </si>
  <si>
    <t>Reverse_fencing_match_with_swords.4</t>
  </si>
  <si>
    <t>Practicing_Taichi.2</t>
  </si>
  <si>
    <t>Reverse_Taichi.7</t>
  </si>
  <si>
    <t>Reverse_diving_into_a_pool.1</t>
  </si>
  <si>
    <t>Salsa_spinning_backward.7</t>
  </si>
  <si>
    <t>Fencing.5</t>
  </si>
  <si>
    <t>Horse_and_rider_galloping_in_reverse.8</t>
  </si>
  <si>
    <t>Practicing_Taichi.1</t>
  </si>
  <si>
    <t>Elaborate_athletic_event_with_a_discus_throw,_technique,_and_crowd_reaction.5</t>
  </si>
  <si>
    <t>Detailed_reverse_horse_riding_scene_with_backward_galloping.4</t>
  </si>
  <si>
    <t>Elaborate_Taichi_performance_in_a_garden_focusing_on_harmony_and_precision.7</t>
  </si>
  <si>
    <t>Elaborate_fencing_tournament_with_swordplay_and_strategic_movements.6</t>
  </si>
  <si>
    <t>Detailed_military_parade_with_marching_troops_and_vehicles.1</t>
  </si>
  <si>
    <t>Practicing_Taichi.8</t>
  </si>
  <si>
    <t>Discus_throw_in_a_field.6</t>
  </si>
  <si>
    <t>A_detailed_reverse_salsa_dance_with_spins_and_turns.8</t>
  </si>
  <si>
    <t>Dancers_performing_salsa_spins.9</t>
  </si>
  <si>
    <t>Elaborate_reverse_morning_walk_with_a_dog,_encountering_other_park-goers_and_animals.3</t>
  </si>
  <si>
    <t>Elaborate_reverse_morning_walk_with_a_dog,_encountering_other_park-goers_and_animals.6</t>
  </si>
  <si>
    <t>Detailed_reverse_cooking_scene_with_chef_cutting_ingredients.3</t>
  </si>
  <si>
    <t>Horse_and_rider_galloping_in_reverse.9</t>
  </si>
  <si>
    <t>Soldiers_marching_backward.6</t>
  </si>
  <si>
    <t>Elaborate_reverse_military_parade_with_bands,_soldiers,_tanks,_and_reverse_flyovers.0</t>
  </si>
  <si>
    <t>Salsa_spinning_backward.9</t>
  </si>
  <si>
    <t>Reverse_fencing.7</t>
  </si>
  <si>
    <t>Reverse_Taichi_routine_in_a_garden.9</t>
  </si>
  <si>
    <t>Reverse_kitchen_cutting.6</t>
  </si>
  <si>
    <t>Chef_cutting_vegetables_backward.2</t>
  </si>
  <si>
    <t>Detailed_reverse_cooking_scene_with_chef_cutting_ingredients.7</t>
  </si>
  <si>
    <t>Backward_stroll_with_a_dog.9</t>
  </si>
  <si>
    <t>Detailed_fencing_duel_with_parries_and_thrusts.5</t>
  </si>
  <si>
    <t>Detailed_horse_riding_scene_with_galloping_and_rider_control.4</t>
  </si>
  <si>
    <t>Reverse_walking_a_dog.1</t>
  </si>
  <si>
    <t>Taichi_routine_in_a_garden.5</t>
  </si>
  <si>
    <t>Detailed_reverse_boxing_match_focusing_on_punches.3</t>
  </si>
  <si>
    <t>Reverse_salsa_dance.9</t>
  </si>
  <si>
    <t>An_elaborate_salsa_routine_with_multiple_spins_and_elaborate_footwork_in_a_dance_hall.6</t>
  </si>
  <si>
    <t>Athlete_throwing_a_discus_backward.5</t>
  </si>
  <si>
    <t>Riding_a_horse.4</t>
  </si>
  <si>
    <t>Reverse_discus_throw_in_a_field.1</t>
  </si>
  <si>
    <t>Detailed_fencing_duel_with_parries_and_thrusts.1</t>
  </si>
  <si>
    <t>Reverse_kitchen_cutting.0</t>
  </si>
  <si>
    <t>A_diver_performing_a_dive.7</t>
  </si>
  <si>
    <t>Horse_riding.0</t>
  </si>
  <si>
    <t>Reverse_punching.5</t>
  </si>
  <si>
    <t>Dancers_performing_reverse_salsa_spins.4</t>
  </si>
  <si>
    <t>Fencers_in_a_reverse_bout.5</t>
  </si>
  <si>
    <t>Athlete_throwing_a_discus_backward.4</t>
  </si>
  <si>
    <t>Throwing_a_punch.8</t>
  </si>
  <si>
    <t>Taichi.6</t>
  </si>
  <si>
    <t>Reverse_kitchen_cutting.9</t>
  </si>
  <si>
    <t>Military_parade_with_uniformed_soldiers.1</t>
  </si>
  <si>
    <t>Backward_stroll_with_a_dog.3</t>
  </si>
  <si>
    <t>Detailed_Taichi_sequence_with_fluid_movements.0</t>
  </si>
  <si>
    <t>Horse_riding.9</t>
  </si>
  <si>
    <t>Riding_a_horse_backward.4</t>
  </si>
  <si>
    <t>Detailed_Taichi_sequence_with_fluid_movements.3</t>
  </si>
  <si>
    <t>Elaborate_equestrian_event_with_jumps,_sprints,_and_coordination.0</t>
  </si>
  <si>
    <t>Elaborate_equestrian_event_with_jumps,_sprints,_and_coordination.8</t>
  </si>
  <si>
    <t>Preparing_ingredients_by_cutting.5</t>
  </si>
  <si>
    <t>Taichi_routine_in_a_garden.6</t>
  </si>
  <si>
    <t>Boxer_punching_a_bag_in_reverse.1</t>
  </si>
  <si>
    <t>Elaborate_reverse_athletic_event_with_a_discus_throw,_backward_technique,_and_crowd_reaction.6</t>
  </si>
  <si>
    <t>Military_parade.1</t>
  </si>
  <si>
    <t>Chef_cutting_vegetables.7</t>
  </si>
  <si>
    <t>Detailed_Taichi_sequence_with_fluid_movements.4</t>
  </si>
  <si>
    <t>High_dive_from_a_board_in_reverse.6</t>
  </si>
  <si>
    <t>Detailed_reverse_scene_of_an_athlete_throwing_a_discus.7</t>
  </si>
  <si>
    <t>Riding_a_horse_backward.1</t>
  </si>
  <si>
    <t>Detailed_cooking_scene_with_chef_cutting_ingredients.5</t>
  </si>
  <si>
    <t>Detailed_scene_of_walking_a_dog_through_a_busy_park.2</t>
  </si>
  <si>
    <t>Reverse_fencing.9</t>
  </si>
  <si>
    <t>Reverse_discus_throw_in_a_field.6</t>
  </si>
  <si>
    <t>Elaborate_athletic_event_with_a_discus_throw,_technique,_and_crowd_reaction.6</t>
  </si>
  <si>
    <t>Punching.4</t>
  </si>
  <si>
    <t>Detailed_fencing_duel_with_parries_and_thrusts.0</t>
  </si>
  <si>
    <t>An_elaborate_reverse_salsa_routine_with_backward_spins_and_footwork_in_a_dance_hall.8</t>
  </si>
  <si>
    <t>Elaborate_boxing_sequence_with_punches,_defense,_and_footwork.1</t>
  </si>
  <si>
    <t>Reverse_Taichi_routine_in_a_garden.4</t>
  </si>
  <si>
    <t>Detailed_fencing_duel_with_parries_and_thrusts.2</t>
  </si>
  <si>
    <t>Elaborate_kitchen_scene_with_intricate_cutting_for_a_gourmet_recipe.2</t>
  </si>
  <si>
    <t>Detailed_reverse_boxing_match_focusing_on_punches.2</t>
  </si>
  <si>
    <t>Military_parade_with_uniformed_soldiers.3</t>
  </si>
  <si>
    <t>Detailed_scene_of_a_diver_executing_a_complex_dive.5</t>
  </si>
  <si>
    <t>Elaborate_kitchen_scene_with_intricate_cutting_for_a_gourmet_recipe.1</t>
  </si>
  <si>
    <t>Practicing_Taichi.0</t>
  </si>
  <si>
    <t>Throwing_a_punch.4</t>
  </si>
  <si>
    <t>Horse_and_rider_galloping_in_reverse.5</t>
  </si>
  <si>
    <t>Military_parade.6</t>
  </si>
  <si>
    <t>Diving_into_a_pool.1</t>
  </si>
  <si>
    <t>A_diver_performing_a_dive_backward.6</t>
  </si>
  <si>
    <t>Punching.1</t>
  </si>
  <si>
    <t>A_detailed_salsa_dance_with_spins_and_turns.9</t>
  </si>
  <si>
    <t>Detailed_fencing_duel_with_parries_and_thrusts.6</t>
  </si>
  <si>
    <t>Soldiers_marching.6</t>
  </si>
  <si>
    <t>Elaborate_equestrian_event_with_jumps,_sprints,_and_coordination.5</t>
  </si>
  <si>
    <t>Elaborate_reverse_equestrian_event_with_backward_jumps_and_sprints.8</t>
  </si>
  <si>
    <t>Detailed_reverse_scene_of_a_diver_executing_a_complex_dive.3</t>
  </si>
  <si>
    <t>Athlete_throwing_a_discus.1</t>
  </si>
  <si>
    <t>Elaborate_reverse_diving_sequence_with_backward_twists_and_turns.3</t>
  </si>
  <si>
    <t>A_detailed_reverse_salsa_dance_with_spins_and_turns.4</t>
  </si>
  <si>
    <t>Reverse_horse_riding.0</t>
  </si>
  <si>
    <t>Horse_and_rider_galloping.8</t>
  </si>
  <si>
    <t>Detailed_fencing_duel_with_parries_and_thrusts.7</t>
  </si>
  <si>
    <t>Elaborate_athletic_event_with_a_discus_throw,_technique,_and_crowd_reaction.7</t>
  </si>
  <si>
    <t>Fencers_in_a_reverse_bout.2</t>
  </si>
  <si>
    <t>Riding_a_horse_backward.0</t>
  </si>
  <si>
    <t>An_elaborate_salsa_routine_with_multiple_spins_and_elaborate_footwork_in_a_dance_hall.2</t>
  </si>
  <si>
    <t>Riding_a_horse.8</t>
  </si>
  <si>
    <t>Fencers_in_a_reverse_bout.7</t>
  </si>
  <si>
    <t>Fencing_match_with_swords.6</t>
  </si>
  <si>
    <t>Elaborate_athletic_event_with_a_discus_throw,_technique,_and_crowd_reaction.0</t>
  </si>
  <si>
    <t>A_diver_performing_a_dive_backward.5</t>
  </si>
  <si>
    <t>Punching.3</t>
  </si>
  <si>
    <t>Detailed_reverse_Taichi_sequence_with_fluid_movements.1</t>
  </si>
  <si>
    <t>Boxer_punching_a_bag.1</t>
  </si>
  <si>
    <t>Elaborate_morning_walk_with_a_dog,_encountering_other_park-goers_and_animals.9</t>
  </si>
  <si>
    <t>Detailed_horse_riding_scene_with_galloping_and_rider_control.1</t>
  </si>
  <si>
    <t>Boxer_punching_a_bag_in_reverse.3</t>
  </si>
  <si>
    <t>Discus_throw_in_a_field.4</t>
  </si>
  <si>
    <t>Preparing_ingredients_by_reverse_cutting.1</t>
  </si>
  <si>
    <t>High_dive_from_a_board_in_reverse.0</t>
  </si>
  <si>
    <t>Elaborate_reverse_kitchen_scene_with_intricate_backward_cutting_for_a_gourmet_recipe.4</t>
  </si>
  <si>
    <t>An_elaborate_reverse_salsa_routine_with_backward_spins_and_footwork_in_a_dance_hall.9</t>
  </si>
  <si>
    <t>Elaborate_reverse_morning_walk_with_a_dog,_encountering_other_park-goers_and_animals.9</t>
  </si>
  <si>
    <t>Boxer_punching_a_bag.4</t>
  </si>
  <si>
    <t>Stroll_with_a_dog.9</t>
  </si>
  <si>
    <t>Fencing.2</t>
  </si>
  <si>
    <t>Chef_cutting_vegetables.1</t>
  </si>
  <si>
    <t>Detailed_reverse_scene_of_an_athlete_throwing_a_discus.2</t>
  </si>
  <si>
    <t>Elaborate_reverse_Taichi_performance_in_a_garden_focusing_on_harmony_and_precision.4</t>
  </si>
  <si>
    <t>A_diver_performing_a_dive.4</t>
  </si>
  <si>
    <t>Detailed_scene_of_walking_a_dog_through_a_busy_park.7</t>
  </si>
  <si>
    <t>Detailed_reverse_Taichi_sequence_with_fluid_movements.2</t>
  </si>
  <si>
    <t>Salsa_dance.2</t>
  </si>
  <si>
    <t>Horse_and_rider_galloping.0</t>
  </si>
  <si>
    <t>Taichi_routine_in_a_garden.8</t>
  </si>
  <si>
    <t>Reverse_kitchen_cutting.2</t>
  </si>
  <si>
    <t>Fencing.6</t>
  </si>
  <si>
    <t>Taichi.1</t>
  </si>
  <si>
    <t>Detailed_boxing_match_focusing_on_punches.4</t>
  </si>
  <si>
    <t>Horse_and_rider_galloping_in_reverse.1</t>
  </si>
  <si>
    <t>High_dive_from_a_board.2</t>
  </si>
  <si>
    <t>Reverse_throwing_a_discus.7</t>
  </si>
  <si>
    <t>Athlete_throwing_a_discus_backward.3</t>
  </si>
  <si>
    <t>Detailed_reverse_horse_riding_scene_with_backward_galloping.3</t>
  </si>
  <si>
    <t>Athlete_throwing_a_discus_backward.6</t>
  </si>
  <si>
    <t>Detailed_cooking_scene_with_chef_cutting_ingredients.7</t>
  </si>
  <si>
    <t>Elaborate_boxing_sequence_with_punches,_defense,_and_footwork.3</t>
  </si>
  <si>
    <t>A_detailed_reverse_salsa_dance_with_spins_and_turns.7</t>
  </si>
  <si>
    <t>Horse_riding.4</t>
  </si>
  <si>
    <t>High_dive_from_a_board.5</t>
  </si>
  <si>
    <t>Reverse_fencing_match_with_swords.0</t>
  </si>
  <si>
    <t>Elaborate_fencing_tournament_with_swordplay_and_strategic_movements.3</t>
  </si>
  <si>
    <t>Fencing.7</t>
  </si>
  <si>
    <t>Athlete_throwing_a_discus_backward.7</t>
  </si>
  <si>
    <t>Fencers_in_a_bout.1</t>
  </si>
  <si>
    <t>Chef_cutting_vegetables.5</t>
  </si>
  <si>
    <t>Soldiers_marching_backward.7</t>
  </si>
  <si>
    <t>Horse_riding.6</t>
  </si>
  <si>
    <t>Reverse_throwing_a_discus.5</t>
  </si>
  <si>
    <t>Elaborate_reverse_fencing_tournament_with_backward_swordplay_and_strategic_movements.2</t>
  </si>
  <si>
    <t>Person_and_dog_walking_backward_in_a_park.5</t>
  </si>
  <si>
    <t>Fencers_in_a_reverse_bout.4</t>
  </si>
  <si>
    <t>Detailed_reverse_scene_of_a_diver_executing_a_complex_dive.8</t>
  </si>
  <si>
    <t>Riding_a_horse.3</t>
  </si>
  <si>
    <t>Reverse_salsa_dance.1</t>
  </si>
  <si>
    <t>Elaborate_reverse_athletic_event_with_a_discus_throw,_backward_technique,_and_crowd_reaction.1</t>
  </si>
  <si>
    <t>Detailed_reverse_Taichi_sequence_with_fluid_movements.4</t>
  </si>
  <si>
    <t>Detailed_reverse_scene_of_walking_a_dog_through_a_busy_park.4</t>
  </si>
  <si>
    <t>Elaborate_reverse_Taichi_performance_in_a_garden_focusing_on_harmony_and_precision.2</t>
  </si>
  <si>
    <t>Preparing_ingredients_by_reverse_cutting.6</t>
  </si>
  <si>
    <t>A_diver_performing_a_dive_backward.3</t>
  </si>
  <si>
    <t>Taichi.4</t>
  </si>
  <si>
    <t>Taichi_routine_in_a_garden.0</t>
  </si>
  <si>
    <t>Fencers_in_a_bout.5</t>
  </si>
  <si>
    <t>Chef_cutting_vegetables_backward.3</t>
  </si>
  <si>
    <t>Salsa_spinning.6</t>
  </si>
  <si>
    <t>Elaborate_Taichi_performance_in_a_garden_focusing_on_harmony_and_precision.3</t>
  </si>
  <si>
    <t>Chef_cutting_vegetables.9</t>
  </si>
  <si>
    <t>Detailed_boxing_match_focusing_on_punches.6</t>
  </si>
  <si>
    <t>Reverse_Taichi.2</t>
  </si>
  <si>
    <t>An_elaborate_salsa_routine_with_multiple_spins_and_elaborate_footwork_in_a_dance_hall.1</t>
  </si>
  <si>
    <t>Practicing_Taichi_backward.7</t>
  </si>
  <si>
    <t>Elaborate_boxing_sequence_with_punches,_defense,_and_footwork.8</t>
  </si>
  <si>
    <t>Discus_throw_in_a_field.8</t>
  </si>
  <si>
    <t>Elaborate_reverse_morning_walk_with_a_dog,_encountering_other_park-goers_and_animals.0</t>
  </si>
  <si>
    <t>Detailed_reverse_boxing_match_focusing_on_punches.1</t>
  </si>
  <si>
    <t>Detailed_scene_of_an_athlete_throwing_a_discus.4</t>
  </si>
  <si>
    <t>Detailed_scene_of_walking_a_dog_through_a_busy_park.1</t>
  </si>
  <si>
    <t>Reverse_fencing.2</t>
  </si>
  <si>
    <t>Elaborate_equestrian_event_with_jumps,_sprints,_and_coordination.4</t>
  </si>
  <si>
    <t>Reverse_fencing.5</t>
  </si>
  <si>
    <t>Chef_cutting_vegetables.6</t>
  </si>
  <si>
    <t>Detailed_horse_riding_scene_with_galloping_and_rider_control.5</t>
  </si>
  <si>
    <t>Throwing_a_punch.1</t>
  </si>
  <si>
    <t>Kitchen_cutting.1</t>
  </si>
  <si>
    <t>Chef_cutting_vegetables.2</t>
  </si>
  <si>
    <t>Riding_a_horse.1</t>
  </si>
  <si>
    <t>High_dive_from_a_board_in_reverse.8</t>
  </si>
  <si>
    <t>Detailed_reverse_fencing_duel_with_parries_and_thrusts.8</t>
  </si>
  <si>
    <t>Kitchen_cutting.4</t>
  </si>
  <si>
    <t>Elaborate_military_parade_with_bands,_soldiers,_tanks,_and_flyovers.8</t>
  </si>
  <si>
    <t>Detailed_military_parade_with_marching_troops_and_vehicles.0</t>
  </si>
  <si>
    <t>High_dive_from_a_board_in_reverse.1</t>
  </si>
  <si>
    <t>Riding_a_horse_backward.9</t>
  </si>
  <si>
    <t>Chef_cutting_vegetables_backward.0</t>
  </si>
  <si>
    <t>Riding_a_horse.2</t>
  </si>
  <si>
    <t>Reverse_military_parade.2</t>
  </si>
  <si>
    <t>Detailed_reverse_fencing_duel_with_parries_and_thrusts.7</t>
  </si>
  <si>
    <t>Military_parade.7</t>
  </si>
  <si>
    <t>Fencers_in_a_bout.3</t>
  </si>
  <si>
    <t>Detailed_reverse_scene_of_a_diver_executing_a_complex_dive.7</t>
  </si>
  <si>
    <t>Detailed_scene_of_a_diver_executing_a_complex_dive.4</t>
  </si>
  <si>
    <t>Fencers_in_a_reverse_bout.6</t>
  </si>
  <si>
    <t>Throwing_a_punch_backward.8</t>
  </si>
  <si>
    <t>Elaborate_Taichi_performance_in_a_garden_focusing_on_harmony_and_precision.9</t>
  </si>
  <si>
    <t>Elaborate_morning_walk_with_a_dog,_encountering_other_park-goers_and_animals.6</t>
  </si>
  <si>
    <t>Elaborate_kitchen_scene_with_intricate_cutting_for_a_gourmet_recipe.5</t>
  </si>
  <si>
    <t>Elaborate_reverse_Taichi_performance_in_a_garden_focusing_on_harmony_and_precision.7</t>
  </si>
  <si>
    <t>Military_parade_with_uniformed_soldiers.9</t>
  </si>
  <si>
    <t>Detailed_reverse_scene_of_walking_a_dog_through_a_busy_park.7</t>
  </si>
  <si>
    <t>Elaborate_military_parade_with_bands,_soldiers,_tanks,_and_flyovers.1</t>
  </si>
  <si>
    <t>A_diver_performing_a_dive.9</t>
  </si>
  <si>
    <t>Elaborate_reverse_Taichi_performance_in_a_garden_focusing_on_harmony_and_precision.6</t>
  </si>
  <si>
    <t>Detailed_scene_of_walking_a_dog_through_a_busy_park.4</t>
  </si>
  <si>
    <t>Diving_into_a_pool.9</t>
  </si>
  <si>
    <t>Detailed_horse_riding_scene_with_galloping_and_rider_control.9</t>
  </si>
  <si>
    <t>Detailed_scene_of_an_athlete_throwing_a_discus.3</t>
  </si>
  <si>
    <t>A_detailed_reverse_salsa_dance_with_spins_and_turns.5</t>
  </si>
  <si>
    <t>Reverse_throwing_a_discus.6</t>
  </si>
  <si>
    <t>Elaborate_military_parade_with_bands,_soldiers,_tanks,_and_flyovers.0</t>
  </si>
  <si>
    <t>Reverse_fencing_match_with_swords.7</t>
  </si>
  <si>
    <t>An_elaborate_salsa_routine_with_multiple_spins_and_elaborate_footwork_in_a_dance_hall.9</t>
  </si>
  <si>
    <t>Horse_and_rider_galloping.7</t>
  </si>
  <si>
    <t>Reverse_punching.2</t>
  </si>
  <si>
    <t>Reverse_fencing_match_with_swords.3</t>
  </si>
  <si>
    <t>Reverse_salsa_dance.0</t>
  </si>
  <si>
    <t>Elaborate_morning_walk_with_a_dog,_encountering_other_park-goers_and_animals.4</t>
  </si>
  <si>
    <t>Elaborate_athletic_event_with_a_discus_throw,_technique,_and_crowd_reaction.2</t>
  </si>
  <si>
    <t>Soldiers_marching_backward.8</t>
  </si>
  <si>
    <t>Elaborate_reverse_kitchen_scene_with_intricate_backward_cutting_for_a_gourmet_recipe.2</t>
  </si>
  <si>
    <t>Dancers_performing_reverse_salsa_spins.8</t>
  </si>
  <si>
    <t>Military_parade.4</t>
  </si>
  <si>
    <t>Elaborate_military_parade_with_bands,_soldiers,_tanks,_and_flyovers.4</t>
  </si>
  <si>
    <t>Kitchen_cutting.3</t>
  </si>
  <si>
    <t>Salsa_spinning_backward.2</t>
  </si>
  <si>
    <t>Horse_riding.3</t>
  </si>
  <si>
    <t>Detailed_fencing_duel_with_parries_and_thrusts.4</t>
  </si>
  <si>
    <t>Detailed_reverse_cooking_scene_with_chef_cutting_ingredients.1</t>
  </si>
  <si>
    <t>A_detailed_salsa_dance_with_spins_and_turns.8</t>
  </si>
  <si>
    <t>Reverse_discus_throw_in_a_field.8</t>
  </si>
  <si>
    <t>Detailed_reverse_cooking_scene_with_chef_cutting_ingredients.4</t>
  </si>
  <si>
    <t>Chef_cutting_vegetables.3</t>
  </si>
  <si>
    <t>Detailed_reverse_Taichi_sequence_with_fluid_movements.6</t>
  </si>
  <si>
    <t>Detailed_scene_of_a_diver_executing_a_complex_dive.0</t>
  </si>
  <si>
    <t>Elaborate_diving_sequence_with_twists,_turns,_and_water_entry.9</t>
  </si>
  <si>
    <t>Military_parade_with_uniformed_soldiers.2</t>
  </si>
  <si>
    <t>Riding_a_horse.0</t>
  </si>
  <si>
    <t>A_detailed_salsa_dance_with_spins_and_turns.0</t>
  </si>
  <si>
    <t>Fencers_in_a_bout.9</t>
  </si>
  <si>
    <t>Fencing.0</t>
  </si>
  <si>
    <t>Elaborate_reverse_equestrian_event_with_backward_jumps_and_sprints.5</t>
  </si>
  <si>
    <t>Reverse_walking_a_dog.2</t>
  </si>
  <si>
    <t>Reverse_punching.0</t>
  </si>
  <si>
    <t>Reverse_discus_throw_in_a_field.4</t>
  </si>
  <si>
    <t>Kitchen_cutting.6</t>
  </si>
  <si>
    <t>Fencers_in_a_reverse_bout.8</t>
  </si>
  <si>
    <t>Detailed_horse_riding_scene_with_galloping_and_rider_control.3</t>
  </si>
  <si>
    <t>Preparing_ingredients_by_reverse_cutting.7</t>
  </si>
  <si>
    <t>Reverse_diving_into_a_pool.7</t>
  </si>
  <si>
    <t>Reverse_fencing.0</t>
  </si>
  <si>
    <t>Dancers_performing_reverse_salsa_spins.2</t>
  </si>
  <si>
    <t>Salsa_dance.1</t>
  </si>
  <si>
    <t>Detailed_scene_of_an_athlete_throwing_a_discus.0</t>
  </si>
  <si>
    <t>Person_and_dog_walking_backward_in_a_park.4</t>
  </si>
  <si>
    <t>Salsa_spinning.4</t>
  </si>
  <si>
    <t>A_diver_performing_a_dive.6</t>
  </si>
  <si>
    <t>Reverse_horse_riding.7</t>
  </si>
  <si>
    <t>Detailed_scene_of_a_diver_executing_a_complex_dive.2</t>
  </si>
  <si>
    <t>Diving_into_a_pool.8</t>
  </si>
  <si>
    <t>Elaborate_reverse_diving_sequence_with_backward_twists_and_turns.8</t>
  </si>
  <si>
    <t>Reverse_salsa_dance.3</t>
  </si>
  <si>
    <t>Detailed_reverse_scene_of_a_diver_executing_a_complex_dive.9</t>
  </si>
  <si>
    <t>A_detailed_reverse_salsa_dance_with_spins_and_turns.6</t>
  </si>
  <si>
    <t>Person_and_dog_walking_in_a_park.5</t>
  </si>
  <si>
    <t>Elaborate_reverse_morning_walk_with_a_dog,_encountering_other_park-goers_and_animals.5</t>
  </si>
  <si>
    <t>Reverse_Taichi.5</t>
  </si>
  <si>
    <t>Elaborate_reverse_morning_walk_with_a_dog,_encountering_other_park-goers_and_animals.2</t>
  </si>
  <si>
    <t>Detailed_reverse_military_parade_with_marching_troops_and_vehicles.3</t>
  </si>
  <si>
    <t>Athlete_throwing_a_discus_backward.1</t>
  </si>
  <si>
    <t>Athlete_throwing_a_discus_backward.8</t>
  </si>
  <si>
    <t>Taichi.5</t>
  </si>
  <si>
    <t>Reverse_diving_into_a_pool.2</t>
  </si>
  <si>
    <t>Detailed_reverse_boxing_match_focusing_on_punches.5</t>
  </si>
  <si>
    <t>Fencing_match_with_swords.5</t>
  </si>
  <si>
    <t>Detailed_reverse_cooking_scene_with_chef_cutting_ingredients.2</t>
  </si>
  <si>
    <t>Elaborate_morning_walk_with_a_dog,_encountering_other_park-goers_and_animals.1</t>
  </si>
  <si>
    <t>Elaborate_equestrian_event_with_jumps,_sprints,_and_coordination.9</t>
  </si>
  <si>
    <t>Elaborate_athletic_event_with_a_discus_throw,_technique,_and_crowd_reaction.3</t>
  </si>
  <si>
    <t>Elaborate_reverse_military_parade_with_bands,_soldiers,_tanks,_and_reverse_flyovers.9</t>
  </si>
  <si>
    <t>Throwing_a_punch_backward.4</t>
  </si>
  <si>
    <t>Salsa_dance.7</t>
  </si>
  <si>
    <t>Detailed_horse_riding_scene_with_galloping_and_rider_control.0</t>
  </si>
  <si>
    <t>Throwing_a_punch_backward.5</t>
  </si>
  <si>
    <t>Soldiers_marching.1</t>
  </si>
  <si>
    <t>Elaborate_reverse_athletic_event_with_a_discus_throw,_backward_technique,_and_crowd_reaction.9</t>
  </si>
  <si>
    <t>An_elaborate_reverse_salsa_routine_with_backward_spins_and_footwork_in_a_dance_hall.7</t>
  </si>
  <si>
    <t>Boxer_punching_a_bag.2</t>
  </si>
  <si>
    <t>Reverse_throwing_a_discus.3</t>
  </si>
  <si>
    <t>Fencers_in_a_bout.8</t>
  </si>
  <si>
    <t>Reverse_military_parade_with_soldiers.1</t>
  </si>
  <si>
    <t>Throwing_a_discus.0</t>
  </si>
  <si>
    <t>Riding_a_horse_backward.3</t>
  </si>
  <si>
    <t>Practicing_Taichi_backward.6</t>
  </si>
  <si>
    <t>Athlete_throwing_a_discus.9</t>
  </si>
  <si>
    <t>Horse_and_rider_galloping.5</t>
  </si>
  <si>
    <t>Boxer_punching_a_bag.9</t>
  </si>
  <si>
    <t>Walking_a_dog.0</t>
  </si>
  <si>
    <t>Detailed_reverse_scene_of_an_athlete_throwing_a_discus.4</t>
  </si>
  <si>
    <t>Discus_throw_in_a_field.1</t>
  </si>
  <si>
    <t>Reverse_walking_a_dog.5</t>
  </si>
  <si>
    <t>Detailed_scene_of_walking_a_dog_through_a_busy_park.8</t>
  </si>
  <si>
    <t>Elaborate_reverse_military_parade_with_bands,_soldiers,_tanks,_and_reverse_flyovers.6</t>
  </si>
  <si>
    <t>Practicing_Taichi_backward.3</t>
  </si>
  <si>
    <t>Reverse_throwing_a_discus.8</t>
  </si>
  <si>
    <t>Detailed_scene_of_a_diver_executing_a_complex_dive.1</t>
  </si>
  <si>
    <t>Chef_cutting_vegetables_backward.5</t>
  </si>
  <si>
    <t>Taichi_routine_in_a_garden.1</t>
  </si>
  <si>
    <t>Reverse_military_parade.9</t>
  </si>
  <si>
    <t>Salsa_spinning.9</t>
  </si>
  <si>
    <t>Elaborate_reverse_equestrian_event_with_backward_jumps_and_sprints.4</t>
  </si>
  <si>
    <t>Detailed_reverse_boxing_match_focusing_on_punches.7</t>
  </si>
  <si>
    <t>Reverse_fencing_match_with_swords.9</t>
  </si>
  <si>
    <t>Elaborate_reverse_boxing_sequence_with_punches,_defense,_and_footwork.5</t>
  </si>
  <si>
    <t>Fencing.3</t>
  </si>
  <si>
    <t>Horse_riding.5</t>
  </si>
  <si>
    <t>Detailed_reverse_scene_of_an_athlete_throwing_a_discus.0</t>
  </si>
  <si>
    <t>Dancers_performing_reverse_salsa_spins.6</t>
  </si>
  <si>
    <t>Detailed_reverse_scene_of_walking_a_dog_through_a_busy_park.3</t>
  </si>
  <si>
    <t>Elaborate_reverse_Taichi_performance_in_a_garden_focusing_on_harmony_and_precision.5</t>
  </si>
  <si>
    <t>Throwing_a_discus.4</t>
  </si>
  <si>
    <t>Elaborate_diving_sequence_with_twists,_turns,_and_water_entry.6</t>
  </si>
  <si>
    <t>Salsa_dance.9</t>
  </si>
  <si>
    <t>Taichi.9</t>
  </si>
  <si>
    <t>High_dive_from_a_board.0</t>
  </si>
  <si>
    <t>Athlete_throwing_a_discus.3</t>
  </si>
  <si>
    <t>Detailed_reverse_Taichi_sequence_with_fluid_movements.7</t>
  </si>
  <si>
    <t>Horse_and_rider_galloping_in_reverse.0</t>
  </si>
  <si>
    <t>Dancers_performing_reverse_salsa_spins.3</t>
  </si>
  <si>
    <t>Taichi.0</t>
  </si>
  <si>
    <t>Detailed_scene_of_an_athlete_throwing_a_discus.1</t>
  </si>
  <si>
    <t>Detailed_reverse_scene_of_a_diver_executing_a_complex_dive.5</t>
  </si>
  <si>
    <t>Elaborate_military_parade_with_bands,_soldiers,_tanks,_and_flyovers.5</t>
  </si>
  <si>
    <t>Elaborate_morning_walk_with_a_dog,_encountering_other_park-goers_and_animals.5</t>
  </si>
  <si>
    <t>Discus_throw_in_a_field.3</t>
  </si>
  <si>
    <t>Elaborate_military_parade_with_bands,_soldiers,_tanks,_and_flyovers.2</t>
  </si>
  <si>
    <t>Practicing_Taichi.9</t>
  </si>
  <si>
    <t>Elaborate_reverse_Taichi_performance_in_a_garden_focusing_on_harmony_and_precision.9</t>
  </si>
  <si>
    <t>Detailed_scene_of_walking_a_dog_through_a_busy_park.3</t>
  </si>
  <si>
    <t>Reverse_horse_riding.8</t>
  </si>
  <si>
    <t>Person_and_dog_walking_in_a_park.1</t>
  </si>
  <si>
    <t>Detailed_scene_of_a_diver_executing_a_complex_dive.3</t>
  </si>
  <si>
    <t>Reverse_horse_riding.2</t>
  </si>
  <si>
    <t>Reverse_Taichi.8</t>
  </si>
  <si>
    <t>Detailed_reverse_Taichi_sequence_with_fluid_movements.9</t>
  </si>
  <si>
    <t>Dancers_performing_reverse_salsa_spins.9</t>
  </si>
  <si>
    <t>Detailed_scene_of_an_athlete_throwing_a_discus.6</t>
  </si>
  <si>
    <t>Reverse_walking_a_dog.4</t>
  </si>
  <si>
    <t>Reverse_throwing_a_discus.2</t>
  </si>
  <si>
    <t>Fencing_match_with_swords.3</t>
  </si>
  <si>
    <t>Detailed_reverse_cooking_scene_with_chef_cutting_ingredients.0</t>
  </si>
  <si>
    <t>Practicing_Taichi_backward.4</t>
  </si>
  <si>
    <t>Person_and_dog_walking_backward_in_a_park.2</t>
  </si>
  <si>
    <t>Detailed_reverse_Taichi_sequence_with_fluid_movements.8</t>
  </si>
  <si>
    <t>Detailed_reverse_Taichi_sequence_with_fluid_movements.3</t>
  </si>
  <si>
    <t>Detailed_reverse_military_parade_with_marching_troops_and_vehicles.9</t>
  </si>
  <si>
    <t>Detailed_scene_of_an_athlete_throwing_a_discus.7</t>
  </si>
  <si>
    <t>Elaborate_Taichi_performance_in_a_garden_focusing_on_harmony_and_precision.5</t>
  </si>
  <si>
    <t>Elaborate_reverse_fencing_tournament_with_backward_swordplay_and_strategic_movements.7</t>
  </si>
  <si>
    <t>Elaborate_reverse_fencing_tournament_with_backward_swordplay_and_strategic_movements.3</t>
  </si>
  <si>
    <t>A_diver_performing_a_dive.0</t>
  </si>
  <si>
    <t>A_diver_performing_a_dive_backward.0</t>
  </si>
  <si>
    <t>Reverse_Taichi_routine_in_a_garden.2</t>
  </si>
  <si>
    <t>Taichi.8</t>
  </si>
  <si>
    <t>Detailed_reverse_boxing_match_focusing_on_punches.4</t>
  </si>
  <si>
    <t>Fencing_match_with_swords.0</t>
  </si>
  <si>
    <t>Practicing_Taichi_backward.5</t>
  </si>
  <si>
    <t>Reverse_fencing_match_with_swords.1</t>
  </si>
  <si>
    <t>Elaborate_Taichi_performance_in_a_garden_focusing_on_harmony_and_precision.4</t>
  </si>
  <si>
    <t>Horse_riding.2</t>
  </si>
  <si>
    <t>Elaborate_morning_walk_with_a_dog,_encountering_other_park-goers_and_animals.2</t>
  </si>
  <si>
    <t>Detailed_horse_riding_scene_with_galloping_and_rider_control.8</t>
  </si>
  <si>
    <t>Throwing_a_punch_backward.2</t>
  </si>
  <si>
    <t>Reverse_walking_a_dog.8</t>
  </si>
  <si>
    <t>Elaborate_athletic_event_with_a_discus_throw,_technique,_and_crowd_reaction.8</t>
  </si>
  <si>
    <t>Detailed_military_parade_with_marching_troops_and_vehicles.7</t>
  </si>
  <si>
    <t>Riding_a_horse_backward.5</t>
  </si>
  <si>
    <t>Elaborate_equestrian_event_with_jumps,_sprints,_and_coordination.3</t>
  </si>
  <si>
    <t>Kitchen_cutting.8</t>
  </si>
  <si>
    <t>Elaborate_reverse_kitchen_scene_with_intricate_backward_cutting_for_a_gourmet_recipe.1</t>
  </si>
  <si>
    <t>Stroll_with_a_dog.1</t>
  </si>
  <si>
    <t>Fencers_in_a_reverse_bout.1</t>
  </si>
  <si>
    <t>Throwing_a_punch_backward.0</t>
  </si>
  <si>
    <t>An_elaborate_salsa_routine_with_multiple_spins_and_elaborate_footwork_in_a_dance_hall.8</t>
  </si>
  <si>
    <t>Horse_and_rider_galloping.1</t>
  </si>
  <si>
    <t>Military_parade_with_uniformed_soldiers.6</t>
  </si>
  <si>
    <t>Detailed_reverse_military_parade_with_marching_troops_and_vehicles.7</t>
  </si>
  <si>
    <t>Detailed_scene_of_an_athlete_throwing_a_discus.9</t>
  </si>
  <si>
    <t>Reverse_punching.7</t>
  </si>
  <si>
    <t>Fencers_in_a_reverse_bout.3</t>
  </si>
  <si>
    <t>Elaborate_equestrian_event_with_jumps,_sprints,_and_coordination.2</t>
  </si>
  <si>
    <t>Detailed_reverse_scene_of_walking_a_dog_through_a_busy_park.0</t>
  </si>
  <si>
    <t>Dancers_performing_salsa_spins.6</t>
  </si>
  <si>
    <t>Elaborate_reverse_morning_walk_with_a_dog,_encountering_other_park-goers_and_animals.4</t>
  </si>
  <si>
    <t>Reverse_diving_into_a_pool.8</t>
  </si>
  <si>
    <t>Reverse_military_parade_with_soldiers.6</t>
  </si>
  <si>
    <t>Athlete_throwing_a_discus.7</t>
  </si>
  <si>
    <t>Kitchen_cutting.2</t>
  </si>
  <si>
    <t>Fencing.8</t>
  </si>
  <si>
    <t>A_diver_performing_a_dive_backward.8</t>
  </si>
  <si>
    <t>Taichi_routine_in_a_garden.7</t>
  </si>
  <si>
    <t>Boxer_punching_a_bag.5</t>
  </si>
  <si>
    <t>Reverse_military_parade.6</t>
  </si>
  <si>
    <t>Elaborate_reverse_kitchen_scene_with_intricate_backward_cutting_for_a_gourmet_recipe.0</t>
  </si>
  <si>
    <t>Elaborate_fencing_tournament_with_swordplay_and_strategic_movements.0</t>
  </si>
  <si>
    <t>Backward_stroll_with_a_dog.4</t>
  </si>
  <si>
    <t>Detailed_reverse_fencing_duel_with_parries_and_thrusts.1</t>
  </si>
  <si>
    <t>Elaborate_reverse_athletic_event_with_a_discus_throw,_backward_technique,_and_crowd_reaction.4</t>
  </si>
  <si>
    <t>Detailed_reverse_horse_riding_scene_with_backward_galloping.7</t>
  </si>
  <si>
    <t>Horse_and_rider_galloping.6</t>
  </si>
  <si>
    <t>Riding_a_horse_backward.6</t>
  </si>
  <si>
    <t>Elaborate_kitchen_scene_with_intricate_cutting_for_a_gourmet_recipe.7</t>
  </si>
  <si>
    <t>Reverse_Taichi_routine_in_a_garden.0</t>
  </si>
  <si>
    <t>Fencing_match_with_swords.2</t>
  </si>
  <si>
    <t>Elaborate_reverse_diving_sequence_with_backward_twists_and_turns.7</t>
  </si>
  <si>
    <t>Fencing_match_with_swords.8</t>
  </si>
  <si>
    <t>Punching.9</t>
  </si>
  <si>
    <t>Soldiers_marching.7</t>
  </si>
  <si>
    <t>Soldiers_marching.4</t>
  </si>
  <si>
    <t>An_elaborate_reverse_salsa_routine_with_backward_spins_and_footwork_in_a_dance_hall.3</t>
  </si>
  <si>
    <t>Detailed_reverse_scene_of_a_diver_executing_a_complex_dive.6</t>
  </si>
  <si>
    <t>Horse_and_rider_galloping_in_reverse.2</t>
  </si>
  <si>
    <t>Detailed_cooking_scene_with_chef_cutting_ingredients.0</t>
  </si>
  <si>
    <t>Detailed_military_parade_with_marching_troops_and_vehicles.5</t>
  </si>
  <si>
    <t>Preparing_ingredients_by_reverse_cutting.2</t>
  </si>
  <si>
    <t>Detailed_fencing_duel_with_parries_and_thrusts.8</t>
  </si>
  <si>
    <t>High_dive_from_a_board.8</t>
  </si>
  <si>
    <t>Fencing_match_with_swords.7</t>
  </si>
  <si>
    <t>Elaborate_reverse_military_parade_with_bands,_soldiers,_tanks,_and_reverse_flyovers.7</t>
  </si>
  <si>
    <t>Reverse_throwing_a_discus.1</t>
  </si>
  <si>
    <t>Fencers_in_a_bout.4</t>
  </si>
  <si>
    <t>Elaborate_reverse_boxing_sequence_with_punches,_defense,_and_footwork.4</t>
  </si>
  <si>
    <t>Detailed_reverse_military_parade_with_marching_troops_and_vehicles.4</t>
  </si>
  <si>
    <t>Boxer_punching_a_bag.0</t>
  </si>
  <si>
    <t>Elaborate_kitchen_scene_with_intricate_cutting_for_a_gourmet_recipe.0</t>
  </si>
  <si>
    <t>Elaborate_diving_sequence_with_twists,_turns,_and_water_entry.1</t>
  </si>
  <si>
    <t>Kitchen_cutting.9</t>
  </si>
  <si>
    <t>Detailed_boxing_match_focusing_on_punches.1</t>
  </si>
  <si>
    <t>Dancers_performing_reverse_salsa_spins.1</t>
  </si>
  <si>
    <t>Detailed_reverse_Taichi_sequence_with_fluid_movements.5</t>
  </si>
  <si>
    <t>Person_and_dog_walking_in_a_park.0</t>
  </si>
  <si>
    <t>Reverse_fencing_match_with_swords.8</t>
  </si>
  <si>
    <t>Reverse_discus_throw_in_a_field.9</t>
  </si>
  <si>
    <t>Dancers_performing_salsa_spins.3</t>
  </si>
  <si>
    <t>Athlete_throwing_a_discus_backward.9</t>
  </si>
  <si>
    <t>Horse_and_rider_galloping.2</t>
  </si>
  <si>
    <t>A_diver_performing_a_dive.8</t>
  </si>
  <si>
    <t>Reverse_military_parade.1</t>
  </si>
  <si>
    <t>Walking_a_dog.2</t>
  </si>
  <si>
    <t>Detailed_reverse_military_parade_with_marching_troops_and_vehicles.8</t>
  </si>
  <si>
    <t>Salsa_spinning.2</t>
  </si>
  <si>
    <t>Backward_stroll_with_a_dog.7</t>
  </si>
  <si>
    <t>Horse_and_rider_galloping_in_reverse.6</t>
  </si>
  <si>
    <t>Throwing_a_discus.9</t>
  </si>
  <si>
    <t>Soldiers_marching_backward.4</t>
  </si>
  <si>
    <t>Discus_throw_in_a_field.0</t>
  </si>
  <si>
    <t>Preparing_ingredients_by_cutting.8</t>
  </si>
  <si>
    <t>Elaborate_fencing_tournament_with_swordplay_and_strategic_movements.8</t>
  </si>
  <si>
    <t>Military_parade.2</t>
  </si>
  <si>
    <t>Reverse_military_parade_with_soldiers.7</t>
  </si>
  <si>
    <t>Reverse_punching.9</t>
  </si>
  <si>
    <t>Elaborate_reverse_fencing_tournament_with_backward_swordplay_and_strategic_movements.6</t>
  </si>
  <si>
    <t>Elaborate_diving_sequence_with_twists,_turns,_and_water_entry.5</t>
  </si>
  <si>
    <t>Reverse_Taichi_routine_in_a_garden.8</t>
  </si>
  <si>
    <t>Detailed_reverse_fencing_duel_with_parries_and_thrusts.6</t>
  </si>
  <si>
    <t>Elaborate_reverse_diving_sequence_with_backward_twists_and_turns.1</t>
  </si>
  <si>
    <t>Detailed_reverse_fencing_duel_with_parries_and_thrusts.4</t>
  </si>
  <si>
    <t>Detailed_boxing_match_focusing_on_punches.3</t>
  </si>
  <si>
    <t>Athlete_throwing_a_discus.8</t>
  </si>
  <si>
    <t>Practicing_Taichi_backward.2</t>
  </si>
  <si>
    <t>Elaborate_reverse_boxing_sequence_with_punches,_defense,_and_footwork.7</t>
  </si>
  <si>
    <t>Salsa_spinning_backward.1</t>
  </si>
  <si>
    <t>A_detailed_reverse_salsa_dance_with_spins_and_turns.9</t>
  </si>
  <si>
    <t>A_detailed_reverse_salsa_dance_with_spins_and_turns.3</t>
  </si>
  <si>
    <t>Military_parade_with_uniformed_soldiers.5</t>
  </si>
  <si>
    <t>Elaborate_morning_walk_with_a_dog,_encountering_other_park-goers_and_animals.0</t>
  </si>
  <si>
    <t>Reverse_kitchen_cutting.5</t>
  </si>
  <si>
    <t>Elaborate_reverse_boxing_sequence_with_punches,_defense,_and_footwork.3</t>
  </si>
  <si>
    <t>Reverse_military_parade_with_soldiers.9</t>
  </si>
  <si>
    <t>Reverse_Taichi.3</t>
  </si>
  <si>
    <t>High_dive_from_a_board_in_reverse.9</t>
  </si>
  <si>
    <t>Elaborate_boxing_sequence_with_punches,_defense,_and_footwork.2</t>
  </si>
  <si>
    <t>Preparing_ingredients_by_cutting.6</t>
  </si>
  <si>
    <t>Elaborate_reverse_Taichi_performance_in_a_garden_focusing_on_harmony_and_precision.1</t>
  </si>
  <si>
    <t>Detailed_reverse_cooking_scene_with_chef_cutting_ingredients.5</t>
  </si>
  <si>
    <t>Reverse_throwing_a_discus.9</t>
  </si>
  <si>
    <t>Elaborate_diving_sequence_with_twists,_turns,_and_water_entry.8</t>
  </si>
  <si>
    <t>Dancers_performing_salsa_spins.4</t>
  </si>
  <si>
    <t>Detailed_cooking_scene_with_chef_cutting_ingredients.1</t>
  </si>
  <si>
    <t>Detailed_Taichi_sequence_with_fluid_movements.6</t>
  </si>
  <si>
    <t>Elaborate_reverse_equestrian_event_with_backward_jumps_and_sprints.3</t>
  </si>
  <si>
    <t>Taichi.7</t>
  </si>
  <si>
    <t>A_detailed_reverse_salsa_dance_with_spins_and_turns.1</t>
  </si>
  <si>
    <t>An_elaborate_reverse_salsa_routine_with_backward_spins_and_footwork_in_a_dance_hall.2</t>
  </si>
  <si>
    <t>Dancers_performing_reverse_salsa_spins.7</t>
  </si>
  <si>
    <t>Elaborate_diving_sequence_with_twists,_turns,_and_water_entry.3</t>
  </si>
  <si>
    <t>Elaborate_diving_sequence_with_twists,_turns,_and_water_entry.2</t>
  </si>
  <si>
    <t>Punching.0</t>
  </si>
  <si>
    <t>Walking_a_dog.9</t>
  </si>
  <si>
    <t>Elaborate_reverse_equestrian_event_with_backward_jumps_and_sprints.1</t>
  </si>
  <si>
    <t>Horse_and_rider_galloping_in_reverse.7</t>
  </si>
  <si>
    <t>Detailed_scene_of_an_athlete_throwing_a_discus.2</t>
  </si>
  <si>
    <t>Athlete_throwing_a_discus.4</t>
  </si>
  <si>
    <t>Boxer_punching_a_bag_in_reverse.9</t>
  </si>
  <si>
    <t>Horse_and_rider_galloping.9</t>
  </si>
  <si>
    <t>Person_and_dog_walking_backward_in_a_park.6</t>
  </si>
  <si>
    <t>Reverse_Taichi_routine_in_a_garden.7</t>
  </si>
  <si>
    <t>Reverse_Taichi.1</t>
  </si>
  <si>
    <t>Reverse_walking_a_dog.0</t>
  </si>
  <si>
    <t>Backward_stroll_with_a_dog.0</t>
  </si>
  <si>
    <t>Elaborate_reverse_boxing_sequence_with_punches,_defense,_and_footwork.6</t>
  </si>
  <si>
    <t>An_elaborate_salsa_routine_with_multiple_spins_and_elaborate_footwork_in_a_dance_hall.7</t>
  </si>
  <si>
    <t>An_elaborate_salsa_routine_with_multiple_spins_and_elaborate_footwork_in_a_dance_hall.3</t>
  </si>
  <si>
    <t>Preparing_ingredients_by_reverse_cutting.8</t>
  </si>
  <si>
    <t>Salsa_dance.3</t>
  </si>
  <si>
    <t>Stroll_with_a_dog.2</t>
  </si>
  <si>
    <t>Detailed_reverse_military_parade_with_marching_troops_and_vehicles.1</t>
  </si>
  <si>
    <t>High_dive_from_a_board_in_reverse.2</t>
  </si>
  <si>
    <t>Reverse_fencing_match_with_swords.2</t>
  </si>
  <si>
    <t>Soldiers_marching.5</t>
  </si>
  <si>
    <t>Person_and_dog_walking_in_a_park.4</t>
  </si>
  <si>
    <t>Elaborate_diving_sequence_with_twists,_turns,_and_water_entry.4</t>
  </si>
  <si>
    <t>Riding_a_horse.7</t>
  </si>
  <si>
    <t>Elaborate_Taichi_performance_in_a_garden_focusing_on_harmony_and_precision.0</t>
  </si>
  <si>
    <t>Military_parade_with_uniformed_soldiers.7</t>
  </si>
  <si>
    <t>Boxer_punching_a_bag_in_reverse.4</t>
  </si>
  <si>
    <t>Throwing_a_discus.5</t>
  </si>
  <si>
    <t>Reverse_salsa_dance.4</t>
  </si>
  <si>
    <t>Throwing_a_punch_backward.3</t>
  </si>
  <si>
    <t>Salsa_spinning_backward.0</t>
  </si>
  <si>
    <t>A_diver_performing_a_dive_backward.1</t>
  </si>
  <si>
    <t>Practicing_Taichi.6</t>
  </si>
  <si>
    <t>Detailed_Taichi_sequence_with_fluid_movements.9</t>
  </si>
  <si>
    <t>Reverse_kitchen_cutting.1</t>
  </si>
  <si>
    <t>Military_parade.8</t>
  </si>
  <si>
    <t>Military_parade.5</t>
  </si>
  <si>
    <t>Salsa_dance.0</t>
  </si>
  <si>
    <t>Horse_and_rider_galloping_in_reverse.4</t>
  </si>
  <si>
    <t>Taichi_routine_in_a_garden.2</t>
  </si>
  <si>
    <t>Detailed_reverse_horse_riding_scene_with_backward_galloping.0</t>
  </si>
  <si>
    <t>Elaborate_reverse_military_parade_with_bands,_soldiers,_tanks,_and_reverse_flyovers.1</t>
  </si>
  <si>
    <t>Reverse_military_parade.5</t>
  </si>
  <si>
    <t>Dancers_performing_salsa_spins.5</t>
  </si>
  <si>
    <t>Boxer_punching_a_bag_in_reverse.8</t>
  </si>
  <si>
    <t>Elaborate_reverse_military_parade_with_bands,_soldiers,_tanks,_and_reverse_flyovers.4</t>
  </si>
  <si>
    <t>Military_parade.0</t>
  </si>
  <si>
    <t>Elaborate_reverse_boxing_sequence_with_punches,_defense,_and_footwork.0</t>
  </si>
  <si>
    <t>Throwing_a_punch.6</t>
  </si>
  <si>
    <t>Elaborate_reverse_military_parade_with_bands,_soldiers,_tanks,_and_reverse_flyovers.2</t>
  </si>
  <si>
    <t>Taichi_routine_in_a_garden.3</t>
  </si>
  <si>
    <t>Fencers_in_a_bout.0</t>
  </si>
  <si>
    <t>Boxer_punching_a_bag_in_reverse.5</t>
  </si>
  <si>
    <t>Detailed_Taichi_sequence_with_fluid_movements.5</t>
  </si>
  <si>
    <t>Elaborate_military_parade_with_bands,_soldiers,_tanks,_and_flyovers.9</t>
  </si>
  <si>
    <t>Horse_riding.1</t>
  </si>
  <si>
    <t>Reverse_kitchen_cutting.4</t>
  </si>
  <si>
    <t>High_dive_from_a_board.1</t>
  </si>
  <si>
    <t>Walking_a_dog.7</t>
  </si>
  <si>
    <t>Reverse_Taichi.6</t>
  </si>
  <si>
    <t>Detailed_reverse_scene_of_an_athlete_throwing_a_discus.8</t>
  </si>
  <si>
    <t>Elaborate_athletic_event_with_a_discus_throw,_technique,_and_crowd_reaction.1</t>
  </si>
  <si>
    <t>Taichi.2</t>
  </si>
  <si>
    <t>High_dive_from_a_board.6</t>
  </si>
  <si>
    <t>Elaborate_Taichi_performance_in_a_garden_focusing_on_harmony_and_precision.6</t>
  </si>
  <si>
    <t>Stroll_with_a_dog.7</t>
  </si>
  <si>
    <t>An_elaborate_salsa_routine_with_multiple_spins_and_elaborate_footwork_in_a_dance_hall.4</t>
  </si>
  <si>
    <t>Salsa_spinning.3</t>
  </si>
  <si>
    <t>Throwing_a_discus.8</t>
  </si>
  <si>
    <t>Elaborate_reverse_military_parade_with_bands,_soldiers,_tanks,_and_reverse_flyovers.3</t>
  </si>
  <si>
    <t>Reverse_salsa_dance.6</t>
  </si>
  <si>
    <t>Detailed_military_parade_with_marching_troops_and_vehicles.9</t>
  </si>
  <si>
    <t>Dancers_performing_salsa_spins.2</t>
  </si>
  <si>
    <t>Practicing_Taichi_backward.9</t>
  </si>
  <si>
    <t>Athlete_throwing_a_discus.6</t>
  </si>
  <si>
    <t>Elaborate_reverse_diving_sequence_with_backward_twists_and_turns.5</t>
  </si>
  <si>
    <t>Walking_a_dog.1</t>
  </si>
  <si>
    <t>Elaborate_reverse_kitchen_scene_with_intricate_backward_cutting_for_a_gourmet_recipe.9</t>
  </si>
  <si>
    <t>Elaborate_reverse_diving_sequence_with_backward_twists_and_turns.2</t>
  </si>
  <si>
    <t>Kitchen_cutting.7</t>
  </si>
  <si>
    <t>Punching.7</t>
  </si>
  <si>
    <t>Elaborate_reverse_fencing_tournament_with_backward_swordplay_and_strategic_movements.1</t>
  </si>
  <si>
    <t>Reverse_diving_into_a_pool.6</t>
  </si>
  <si>
    <t>Elaborate_reverse_morning_walk_with_a_dog,_encountering_other_park-goers_and_animals.8</t>
  </si>
  <si>
    <t>Reverse_military_parade_with_soldiers.5</t>
  </si>
  <si>
    <t>Soldiers_marching.8</t>
  </si>
  <si>
    <t>Detailed_reverse_scene_of_walking_a_dog_through_a_busy_park.1</t>
  </si>
  <si>
    <t>Elaborate_reverse_equestrian_event_with_backward_jumps_and_sprints.7</t>
  </si>
  <si>
    <t>Person_and_dog_walking_backward_in_a_park.9</t>
  </si>
  <si>
    <t>Person_and_dog_walking_backward_in_a_park.1</t>
  </si>
  <si>
    <t>Reverse_kitchen_cutting.8</t>
  </si>
  <si>
    <t>High_dive_from_a_board.4</t>
  </si>
  <si>
    <t>Elaborate_reverse_morning_walk_with_a_dog,_encountering_other_park-goers_and_animals.7</t>
  </si>
  <si>
    <t>Elaborate_equestrian_event_with_jumps,_sprints,_and_coordination.7</t>
  </si>
  <si>
    <t>Throwing_a_punch.2</t>
  </si>
  <si>
    <t>Detailed_boxing_match_focusing_on_punches.9</t>
  </si>
  <si>
    <t>Elaborate_boxing_sequence_with_punches,_defense,_and_footwork.4</t>
  </si>
  <si>
    <t>Throwing_a_discus.7</t>
  </si>
  <si>
    <t>Detailed_Taichi_sequence_with_fluid_movements.2</t>
  </si>
  <si>
    <t>Elaborate_reverse_equestrian_event_with_backward_jumps_and_sprints.9</t>
  </si>
  <si>
    <t>An_elaborate_reverse_salsa_routine_with_backward_spins_and_footwork_in_a_dance_hall.0</t>
  </si>
  <si>
    <t>Reverse_diving_into_a_pool.9</t>
  </si>
  <si>
    <t>Reverse_discus_throw_in_a_field.3</t>
  </si>
  <si>
    <t>Detailed_reverse_horse_riding_scene_with_backward_galloping.2</t>
  </si>
  <si>
    <t>Boxer_punching_a_bag_in_reverse.0</t>
  </si>
  <si>
    <t>An_elaborate_salsa_routine_with_multiple_spins_and_elaborate_footwork_in_a_dance_hall.0</t>
  </si>
  <si>
    <t>Reverse_Taichi_routine_in_a_garden.5</t>
  </si>
  <si>
    <t>Detailed_cooking_scene_with_chef_cutting_ingredients.3</t>
  </si>
  <si>
    <t>Preparing_ingredients_by_cutting.7</t>
  </si>
  <si>
    <t>Chef_cutting_vegetables_backward.9</t>
  </si>
  <si>
    <t>Detailed_reverse_scene_of_an_athlete_throwing_a_discus.1</t>
  </si>
  <si>
    <t>Detailed_reverse_scene_of_walking_a_dog_through_a_busy_park.5</t>
  </si>
  <si>
    <t>Diving_into_a_pool.0</t>
  </si>
  <si>
    <t>Practicing_Taichi_backward.8</t>
  </si>
  <si>
    <t>Stroll_with_a_dog.6</t>
  </si>
  <si>
    <t>A_detailed_salsa_dance_with_spins_and_turns.5</t>
  </si>
  <si>
    <t>Elaborate_military_parade_with_bands,_soldiers,_tanks,_and_flyovers.6</t>
  </si>
  <si>
    <t>Punching.8</t>
  </si>
  <si>
    <t>Elaborate_reverse_boxing_sequence_with_punches,_defense,_and_footwork.8</t>
  </si>
  <si>
    <t>Detailed_fencing_duel_with_parries_and_thrusts.9</t>
  </si>
  <si>
    <t>Discus_throw_in_a_field.5</t>
  </si>
  <si>
    <t>Taichi.3</t>
  </si>
  <si>
    <t>Elaborate_reverse_kitchen_scene_with_intricate_backward_cutting_for_a_gourmet_recipe.5</t>
  </si>
  <si>
    <t>Salsa_spinning_backward.3</t>
  </si>
  <si>
    <t>Elaborate_reverse_fencing_tournament_with_backward_swordplay_and_strategic_movements.9</t>
  </si>
  <si>
    <t>Preparing_ingredients_by_cutting.3</t>
  </si>
  <si>
    <t>Reverse_military_parade_with_soldiers.2</t>
  </si>
  <si>
    <t>Athlete_throwing_a_discus.5</t>
  </si>
  <si>
    <t>Detailed_Taichi_sequence_with_fluid_movements.8</t>
  </si>
  <si>
    <t>Detailed_military_parade_with_marching_troops_and_vehicles.8</t>
  </si>
  <si>
    <t>Detailed_military_parade_with_marching_troops_and_vehicles.4</t>
  </si>
  <si>
    <t>Detailed_reverse_military_parade_with_marching_troops_and_vehicles.6</t>
  </si>
  <si>
    <t>Elaborate_reverse_morning_walk_with_a_dog,_encountering_other_park-goers_and_animals.1</t>
  </si>
  <si>
    <t>Reverse_horse_riding.9</t>
  </si>
  <si>
    <t>Detailed_reverse_fencing_duel_with_parries_and_thrusts.3</t>
  </si>
  <si>
    <t>Elaborate_reverse_Taichi_performance_in_a_garden_focusing_on_harmony_and_precision.0</t>
  </si>
  <si>
    <t>Elaborate_morning_walk_with_a_dog,_encountering_other_park-goers_and_animals.7</t>
  </si>
  <si>
    <t>Salsa_spinning.0</t>
  </si>
  <si>
    <t>Salsa_spinning_backward.8</t>
  </si>
  <si>
    <t>Detailed_reverse_scene_of_an_athlete_throwing_a_discus.5</t>
  </si>
  <si>
    <t>Reverse_fencing.3</t>
  </si>
  <si>
    <t>Chef_cutting_vegetables.8</t>
  </si>
  <si>
    <t>Elaborate_reverse_kitchen_scene_with_intricate_backward_cutting_for_a_gourmet_recipe.6</t>
  </si>
  <si>
    <t>Soldiers_marching_backward.1</t>
  </si>
  <si>
    <t>Person_and_dog_walking_in_a_park.9</t>
  </si>
  <si>
    <t>Detailed_cooking_scene_with_chef_cutting_ingredients.4</t>
  </si>
  <si>
    <t>Chef_cutting_vegetables_backward.4</t>
  </si>
  <si>
    <t>Detailed_boxing_match_focusing_on_punches.7</t>
  </si>
  <si>
    <t>Throwing_a_punch.5</t>
  </si>
  <si>
    <t>Salsa_dance.6</t>
  </si>
  <si>
    <t>Fencers_in_a_reverse_bout.0</t>
  </si>
  <si>
    <t>All</t>
  </si>
  <si>
    <t>Confusion Matrix</t>
  </si>
  <si>
    <t>Category Summary</t>
  </si>
  <si>
    <t>Predicted Backward</t>
  </si>
  <si>
    <t>Predicted Forward</t>
  </si>
  <si>
    <t>Actual Backward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</si>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</sst>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01"/>
  <sheetViews>
    <sheetView tabSelected="1" workbookViewId="0">
      <selection activeCell="S29" sqref="S29"/>
    </sheetView>
  </sheetViews>
  <sheetFormatPr baseColWidth="10" defaultRowHeight="16" x14ac:dyDescent="0.2"/>
  <cols>
    <col min="1" max="2" width="25" customWidth="1"/>
  </cols>
  <sheetData>
    <row r="1" spans="1:2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I1" s="2" t="s">
        <v>1016</v>
      </c>
      <c r="J1" s="2"/>
      <c r="K1" s="2"/>
      <c r="N1" s="2" t="s">
        <v>1016</v>
      </c>
      <c r="O1" s="2"/>
      <c r="P1" s="2"/>
      <c r="Q1" s="2"/>
      <c r="R1" s="2"/>
      <c r="S1" s="2"/>
      <c r="T1" s="2"/>
    </row>
    <row r="2" spans="1:20" ht="21" x14ac:dyDescent="0.25">
      <c r="A2" t="s">
        <v>5</v>
      </c>
      <c r="B2" t="s">
        <v>6</v>
      </c>
      <c r="C2">
        <v>1</v>
      </c>
      <c r="D2">
        <v>0</v>
      </c>
      <c r="E2">
        <v>3</v>
      </c>
      <c r="I2" s="3" t="s">
        <v>1017</v>
      </c>
      <c r="J2" s="3"/>
      <c r="K2" s="3"/>
      <c r="O2" s="3" t="s">
        <v>1018</v>
      </c>
      <c r="P2" s="3"/>
    </row>
    <row r="3" spans="1:20" x14ac:dyDescent="0.2">
      <c r="A3" t="s">
        <v>7</v>
      </c>
      <c r="B3" t="s">
        <v>8</v>
      </c>
      <c r="C3">
        <v>1</v>
      </c>
      <c r="D3">
        <v>1</v>
      </c>
      <c r="E3">
        <v>4</v>
      </c>
      <c r="J3" t="s">
        <v>1019</v>
      </c>
      <c r="K3" t="s">
        <v>1020</v>
      </c>
    </row>
    <row r="4" spans="1:20" ht="19" x14ac:dyDescent="0.25">
      <c r="A4" t="s">
        <v>9</v>
      </c>
      <c r="B4" t="s">
        <v>10</v>
      </c>
      <c r="C4">
        <v>1</v>
      </c>
      <c r="D4">
        <v>1</v>
      </c>
      <c r="E4">
        <v>5</v>
      </c>
      <c r="I4" t="s">
        <v>1021</v>
      </c>
      <c r="J4">
        <f>COUNTIFS(C2:C1001, 0, D2:D1001, 0)</f>
        <v>225</v>
      </c>
      <c r="K4">
        <f>COUNTIFS(C2:C1001, 0, D2:D1001, 1)</f>
        <v>275</v>
      </c>
      <c r="N4" s="4" t="str" cm="1">
        <f t="array" ref="N4:N15">_xlfn.UNIQUE(B1:B1001)</f>
        <v>Category</v>
      </c>
      <c r="O4" s="1" t="s">
        <v>1022</v>
      </c>
      <c r="P4" s="1" t="s">
        <v>1023</v>
      </c>
      <c r="Q4" s="1" t="s">
        <v>1024</v>
      </c>
      <c r="R4" s="1" t="s">
        <v>1025</v>
      </c>
      <c r="S4" s="1" t="s">
        <v>1026</v>
      </c>
      <c r="T4" s="1" t="s">
        <v>1027</v>
      </c>
    </row>
    <row r="5" spans="1:20" x14ac:dyDescent="0.2">
      <c r="A5" t="s">
        <v>11</v>
      </c>
      <c r="B5" t="s">
        <v>12</v>
      </c>
      <c r="C5">
        <v>1</v>
      </c>
      <c r="D5">
        <v>1</v>
      </c>
      <c r="E5">
        <v>5</v>
      </c>
      <c r="I5" t="s">
        <v>1028</v>
      </c>
      <c r="J5">
        <f>COUNTIFS(C2:C1001, 1, D2:D1001, 0)</f>
        <v>192</v>
      </c>
      <c r="K5">
        <f>COUNTIFS(C2:C1001, 1, D2:D1001, 1)</f>
        <v>308</v>
      </c>
      <c r="N5" t="str">
        <v>Fencing</v>
      </c>
      <c r="O5">
        <f>COUNTIFS($B$2:$B$1001,N5, $C$2:$C$1001, 1, $D$2:$D$1001, 1)</f>
        <v>30</v>
      </c>
      <c r="P5">
        <f>COUNTIFS($B$2:$B$1001,N5, $C$2:$C$1001, 0, $D$2:$D$1001, 1)</f>
        <v>22</v>
      </c>
      <c r="Q5">
        <f>COUNTIFS($B$2:$B$1001,N5, $C$2:$C$1001, 0, $D$2:$D$1001, 0)</f>
        <v>28</v>
      </c>
      <c r="R5">
        <f>COUNTIFS($B$2:$B$1001,N5, $C$2:$C$1001, 1, $D$2:$D$1001, 0)</f>
        <v>20</v>
      </c>
      <c r="S5" s="5">
        <f>O5/(R5+O5)</f>
        <v>0.6</v>
      </c>
      <c r="T5" s="5">
        <f>Q5/(Q5+P5)</f>
        <v>0.56000000000000005</v>
      </c>
    </row>
    <row r="6" spans="1:20" x14ac:dyDescent="0.2">
      <c r="A6" t="s">
        <v>13</v>
      </c>
      <c r="B6" t="s">
        <v>14</v>
      </c>
      <c r="C6">
        <v>0</v>
      </c>
      <c r="D6">
        <v>1</v>
      </c>
      <c r="E6">
        <v>1</v>
      </c>
      <c r="N6" t="str">
        <v>Cutting in Kitchen</v>
      </c>
      <c r="O6">
        <f t="shared" ref="O6:O15" si="0">COUNTIFS($B$2:$B$1001,N6, $C$2:$C$1001, 1, $D$2:$D$1001, 1)</f>
        <v>35</v>
      </c>
      <c r="P6">
        <f t="shared" ref="P6:P14" si="1">COUNTIFS($B$2:$B$1001,N6, $C$2:$C$1001, 0, $D$2:$D$1001, 1)</f>
        <v>30</v>
      </c>
      <c r="Q6">
        <f t="shared" ref="Q6:Q14" si="2">COUNTIFS($B$2:$B$1001,N6, $C$2:$C$1001, 0, $D$2:$D$1001, 0)</f>
        <v>20</v>
      </c>
      <c r="R6">
        <f t="shared" ref="R6:R14" si="3">COUNTIFS($B$2:$B$1001,N6, $C$2:$C$1001, 1, $D$2:$D$1001, 0)</f>
        <v>15</v>
      </c>
      <c r="S6" s="5">
        <f t="shared" ref="S6:S10" si="4">O6/(R6+O6)</f>
        <v>0.7</v>
      </c>
      <c r="T6" s="5">
        <f t="shared" ref="T6:T10" si="5">Q6/(Q6+P6)</f>
        <v>0.4</v>
      </c>
    </row>
    <row r="7" spans="1:20" x14ac:dyDescent="0.2">
      <c r="A7" t="s">
        <v>15</v>
      </c>
      <c r="B7" t="s">
        <v>16</v>
      </c>
      <c r="C7">
        <v>1</v>
      </c>
      <c r="D7">
        <v>0</v>
      </c>
      <c r="E7">
        <v>3</v>
      </c>
      <c r="I7" t="s">
        <v>1029</v>
      </c>
      <c r="J7">
        <f>SUM(J4:K5)</f>
        <v>1000</v>
      </c>
      <c r="N7" t="str">
        <v>Throw Discuss</v>
      </c>
      <c r="O7">
        <f t="shared" si="0"/>
        <v>27</v>
      </c>
      <c r="P7">
        <f t="shared" si="1"/>
        <v>25</v>
      </c>
      <c r="Q7">
        <f t="shared" si="2"/>
        <v>25</v>
      </c>
      <c r="R7">
        <f t="shared" si="3"/>
        <v>23</v>
      </c>
      <c r="S7" s="5">
        <f t="shared" si="4"/>
        <v>0.54</v>
      </c>
      <c r="T7" s="5">
        <f t="shared" si="5"/>
        <v>0.5</v>
      </c>
    </row>
    <row r="8" spans="1:20" x14ac:dyDescent="0.2">
      <c r="A8" t="s">
        <v>17</v>
      </c>
      <c r="B8" t="s">
        <v>6</v>
      </c>
      <c r="C8">
        <v>0</v>
      </c>
      <c r="D8">
        <v>1</v>
      </c>
      <c r="E8">
        <v>4</v>
      </c>
      <c r="I8" t="s">
        <v>1030</v>
      </c>
      <c r="J8" s="5">
        <f>(J4+K5)/J7</f>
        <v>0.53300000000000003</v>
      </c>
      <c r="N8" t="str">
        <v>Tai Chi</v>
      </c>
      <c r="O8">
        <f t="shared" si="0"/>
        <v>35</v>
      </c>
      <c r="P8">
        <f t="shared" si="1"/>
        <v>33</v>
      </c>
      <c r="Q8">
        <f t="shared" si="2"/>
        <v>17</v>
      </c>
      <c r="R8">
        <f t="shared" si="3"/>
        <v>15</v>
      </c>
      <c r="S8" s="5">
        <f t="shared" si="4"/>
        <v>0.7</v>
      </c>
      <c r="T8" s="5">
        <f t="shared" si="5"/>
        <v>0.34</v>
      </c>
    </row>
    <row r="9" spans="1:20" x14ac:dyDescent="0.2">
      <c r="A9" t="s">
        <v>18</v>
      </c>
      <c r="B9" t="s">
        <v>8</v>
      </c>
      <c r="C9">
        <v>1</v>
      </c>
      <c r="D9">
        <v>1</v>
      </c>
      <c r="E9">
        <v>4</v>
      </c>
      <c r="N9" t="str">
        <v>Punch</v>
      </c>
      <c r="O9">
        <f t="shared" si="0"/>
        <v>36</v>
      </c>
      <c r="P9">
        <f t="shared" si="1"/>
        <v>28</v>
      </c>
      <c r="Q9">
        <f t="shared" si="2"/>
        <v>22</v>
      </c>
      <c r="R9">
        <f t="shared" si="3"/>
        <v>14</v>
      </c>
      <c r="S9" s="5">
        <f t="shared" si="4"/>
        <v>0.72</v>
      </c>
      <c r="T9" s="5">
        <f t="shared" si="5"/>
        <v>0.44</v>
      </c>
    </row>
    <row r="10" spans="1:20" x14ac:dyDescent="0.2">
      <c r="A10" t="s">
        <v>19</v>
      </c>
      <c r="B10" t="s">
        <v>14</v>
      </c>
      <c r="C10">
        <v>1</v>
      </c>
      <c r="D10">
        <v>0</v>
      </c>
      <c r="E10">
        <v>2</v>
      </c>
      <c r="I10" t="s">
        <v>1031</v>
      </c>
      <c r="J10">
        <f>J4/(J4+J5)</f>
        <v>0.53956834532374098</v>
      </c>
      <c r="N10" t="str">
        <v>Military Parade</v>
      </c>
      <c r="O10">
        <f t="shared" si="0"/>
        <v>28</v>
      </c>
      <c r="P10">
        <f t="shared" si="1"/>
        <v>19</v>
      </c>
      <c r="Q10">
        <f t="shared" si="2"/>
        <v>31</v>
      </c>
      <c r="R10">
        <f t="shared" si="3"/>
        <v>22</v>
      </c>
      <c r="S10" s="5">
        <f t="shared" si="4"/>
        <v>0.56000000000000005</v>
      </c>
      <c r="T10" s="5">
        <f t="shared" si="5"/>
        <v>0.62</v>
      </c>
    </row>
    <row r="11" spans="1:20" x14ac:dyDescent="0.2">
      <c r="A11" t="s">
        <v>20</v>
      </c>
      <c r="B11" t="s">
        <v>21</v>
      </c>
      <c r="C11">
        <v>1</v>
      </c>
      <c r="D11">
        <v>1</v>
      </c>
      <c r="E11">
        <v>3</v>
      </c>
      <c r="I11" t="s">
        <v>1032</v>
      </c>
      <c r="J11">
        <f>(J4/(J4+K4))</f>
        <v>0.45</v>
      </c>
      <c r="N11" t="str">
        <v>Salsa Spin</v>
      </c>
      <c r="O11">
        <f t="shared" si="0"/>
        <v>25</v>
      </c>
      <c r="P11">
        <f t="shared" si="1"/>
        <v>23</v>
      </c>
      <c r="Q11">
        <f t="shared" si="2"/>
        <v>27</v>
      </c>
      <c r="R11">
        <f t="shared" si="3"/>
        <v>15</v>
      </c>
      <c r="S11" s="5">
        <f>O11/(R11+O11)</f>
        <v>0.625</v>
      </c>
      <c r="T11" s="5">
        <f>Q11/(Q11+P11)</f>
        <v>0.54</v>
      </c>
    </row>
    <row r="12" spans="1:20" x14ac:dyDescent="0.2">
      <c r="A12" t="s">
        <v>22</v>
      </c>
      <c r="B12" t="s">
        <v>16</v>
      </c>
      <c r="C12">
        <v>1</v>
      </c>
      <c r="D12">
        <v>0</v>
      </c>
      <c r="E12">
        <v>4</v>
      </c>
      <c r="I12" t="s">
        <v>1033</v>
      </c>
      <c r="J12">
        <f>2*(J10*J11/(J10+J11))</f>
        <v>0.49073064340239914</v>
      </c>
      <c r="N12" t="str">
        <v>Diving</v>
      </c>
      <c r="O12">
        <f t="shared" si="0"/>
        <v>27</v>
      </c>
      <c r="P12">
        <f t="shared" si="1"/>
        <v>30</v>
      </c>
      <c r="Q12">
        <f t="shared" si="2"/>
        <v>20</v>
      </c>
      <c r="R12">
        <f t="shared" si="3"/>
        <v>23</v>
      </c>
      <c r="S12" s="5">
        <f t="shared" ref="S12:S14" si="6">O12/(R12+O12)</f>
        <v>0.54</v>
      </c>
      <c r="T12" s="5">
        <f t="shared" ref="T12:T14" si="7">Q12/(Q12+P12)</f>
        <v>0.4</v>
      </c>
    </row>
    <row r="13" spans="1:20" x14ac:dyDescent="0.2">
      <c r="A13" t="s">
        <v>23</v>
      </c>
      <c r="B13" t="s">
        <v>8</v>
      </c>
      <c r="C13">
        <v>1</v>
      </c>
      <c r="D13">
        <v>1</v>
      </c>
      <c r="E13">
        <v>1</v>
      </c>
      <c r="N13" t="str">
        <v>Walking With Dog</v>
      </c>
      <c r="O13">
        <f t="shared" si="0"/>
        <v>31</v>
      </c>
      <c r="P13">
        <f t="shared" si="1"/>
        <v>31</v>
      </c>
      <c r="Q13">
        <f t="shared" si="2"/>
        <v>19</v>
      </c>
      <c r="R13">
        <f t="shared" si="3"/>
        <v>19</v>
      </c>
      <c r="S13" s="5">
        <f t="shared" si="6"/>
        <v>0.62</v>
      </c>
      <c r="T13" s="5">
        <f t="shared" si="7"/>
        <v>0.38</v>
      </c>
    </row>
    <row r="14" spans="1:20" x14ac:dyDescent="0.2">
      <c r="A14" t="s">
        <v>24</v>
      </c>
      <c r="B14" t="s">
        <v>14</v>
      </c>
      <c r="C14">
        <v>1</v>
      </c>
      <c r="D14">
        <v>0</v>
      </c>
      <c r="E14">
        <v>3</v>
      </c>
      <c r="I14" t="s">
        <v>1034</v>
      </c>
      <c r="J14">
        <f>K5/(K5+K4)</f>
        <v>0.52830188679245282</v>
      </c>
      <c r="N14" t="str">
        <v>Horse Riding</v>
      </c>
      <c r="O14">
        <f t="shared" si="0"/>
        <v>29</v>
      </c>
      <c r="P14">
        <f t="shared" si="1"/>
        <v>34</v>
      </c>
      <c r="Q14">
        <f t="shared" si="2"/>
        <v>16</v>
      </c>
      <c r="R14">
        <f t="shared" si="3"/>
        <v>21</v>
      </c>
      <c r="S14" s="5">
        <f t="shared" si="6"/>
        <v>0.57999999999999996</v>
      </c>
      <c r="T14" s="5">
        <f t="shared" si="7"/>
        <v>0.32</v>
      </c>
    </row>
    <row r="15" spans="1:20" x14ac:dyDescent="0.2">
      <c r="A15" t="s">
        <v>25</v>
      </c>
      <c r="B15" t="s">
        <v>21</v>
      </c>
      <c r="C15">
        <v>1</v>
      </c>
      <c r="D15">
        <v>1</v>
      </c>
      <c r="E15">
        <v>2</v>
      </c>
      <c r="I15" t="s">
        <v>1035</v>
      </c>
      <c r="J15">
        <f>K5/(K5+J5)</f>
        <v>0.61599999999999999</v>
      </c>
      <c r="N15" t="str">
        <v>iÃà¬ª¬øSalsa Spin</v>
      </c>
    </row>
    <row r="16" spans="1:20" x14ac:dyDescent="0.2">
      <c r="A16" t="s">
        <v>26</v>
      </c>
      <c r="B16" t="s">
        <v>14</v>
      </c>
      <c r="C16">
        <v>1</v>
      </c>
      <c r="D16">
        <v>1</v>
      </c>
      <c r="E16">
        <v>2</v>
      </c>
      <c r="I16" t="s">
        <v>1036</v>
      </c>
      <c r="J16">
        <f>2*(J14*J15/(J14+J15))</f>
        <v>0.5687903970452447</v>
      </c>
    </row>
    <row r="17" spans="1:20" x14ac:dyDescent="0.2">
      <c r="A17" t="s">
        <v>27</v>
      </c>
      <c r="B17" t="s">
        <v>8</v>
      </c>
      <c r="C17">
        <v>0</v>
      </c>
      <c r="D17">
        <v>1</v>
      </c>
      <c r="E17">
        <v>3</v>
      </c>
    </row>
    <row r="18" spans="1:20" x14ac:dyDescent="0.2">
      <c r="A18" t="s">
        <v>28</v>
      </c>
      <c r="B18" t="s">
        <v>16</v>
      </c>
      <c r="C18">
        <v>0</v>
      </c>
      <c r="D18">
        <v>0</v>
      </c>
      <c r="E18">
        <v>4</v>
      </c>
    </row>
    <row r="19" spans="1:20" x14ac:dyDescent="0.2">
      <c r="A19" t="s">
        <v>29</v>
      </c>
      <c r="B19" t="s">
        <v>10</v>
      </c>
      <c r="C19">
        <v>1</v>
      </c>
      <c r="D19">
        <v>1</v>
      </c>
      <c r="E19">
        <v>3</v>
      </c>
      <c r="I19" s="2">
        <v>1</v>
      </c>
      <c r="J19" s="2"/>
      <c r="K19" s="2"/>
      <c r="N19" s="2">
        <v>1</v>
      </c>
      <c r="O19" s="2"/>
      <c r="P19" s="2"/>
      <c r="Q19" s="2"/>
      <c r="R19" s="2"/>
      <c r="S19" s="2"/>
      <c r="T19" s="2"/>
    </row>
    <row r="20" spans="1:20" ht="21" x14ac:dyDescent="0.25">
      <c r="A20" t="s">
        <v>30</v>
      </c>
      <c r="B20" t="s">
        <v>12</v>
      </c>
      <c r="C20">
        <v>1</v>
      </c>
      <c r="D20">
        <v>1</v>
      </c>
      <c r="E20">
        <v>3</v>
      </c>
      <c r="I20" s="3" t="s">
        <v>1017</v>
      </c>
      <c r="J20" s="3"/>
      <c r="K20" s="3"/>
      <c r="O20" s="3" t="s">
        <v>1018</v>
      </c>
      <c r="P20" s="3"/>
    </row>
    <row r="21" spans="1:20" x14ac:dyDescent="0.2">
      <c r="A21" t="s">
        <v>31</v>
      </c>
      <c r="B21" t="s">
        <v>8</v>
      </c>
      <c r="C21">
        <v>0</v>
      </c>
      <c r="D21">
        <v>1</v>
      </c>
      <c r="E21">
        <v>2</v>
      </c>
      <c r="J21" t="s">
        <v>1019</v>
      </c>
      <c r="K21" t="s">
        <v>1020</v>
      </c>
    </row>
    <row r="22" spans="1:20" ht="19" x14ac:dyDescent="0.25">
      <c r="A22" t="s">
        <v>32</v>
      </c>
      <c r="B22" t="s">
        <v>33</v>
      </c>
      <c r="C22">
        <v>0</v>
      </c>
      <c r="D22">
        <v>0</v>
      </c>
      <c r="E22">
        <v>2</v>
      </c>
      <c r="I22" t="s">
        <v>1021</v>
      </c>
      <c r="J22">
        <f>COUNTIFS(C2:C1001, 0, D2:D1001, 0, E2:E1001, 1)</f>
        <v>44</v>
      </c>
      <c r="K22">
        <f>COUNTIFS(C2:C1001, 0, D2:D1001, 1,E2:E1001,1)</f>
        <v>56</v>
      </c>
      <c r="N22" s="4" t="str" cm="1">
        <f t="array" ref="N22:N33">_xlfn.UNIQUE(B1:B1001)</f>
        <v>Category</v>
      </c>
      <c r="O22" s="1" t="s">
        <v>1022</v>
      </c>
      <c r="P22" s="1" t="s">
        <v>1023</v>
      </c>
      <c r="Q22" s="1" t="s">
        <v>1024</v>
      </c>
      <c r="R22" s="1" t="s">
        <v>1025</v>
      </c>
      <c r="S22" s="1" t="s">
        <v>1026</v>
      </c>
      <c r="T22" s="1" t="s">
        <v>1027</v>
      </c>
    </row>
    <row r="23" spans="1:20" x14ac:dyDescent="0.2">
      <c r="A23" t="s">
        <v>34</v>
      </c>
      <c r="B23" t="s">
        <v>8</v>
      </c>
      <c r="C23">
        <v>0</v>
      </c>
      <c r="D23">
        <v>0</v>
      </c>
      <c r="E23">
        <v>5</v>
      </c>
      <c r="I23" t="s">
        <v>1028</v>
      </c>
      <c r="J23">
        <f>COUNTIFS(C2:C1001, 1, D2:D1001, 0,E2:E1001,1)</f>
        <v>39</v>
      </c>
      <c r="K23">
        <f>COUNTIFS(C2:C1001, 1, D2:D1001, 1,E2:E1001,1)</f>
        <v>61</v>
      </c>
      <c r="N23" t="str">
        <v>Fencing</v>
      </c>
      <c r="O23">
        <f>COUNTIFS($B$2:$B$1001,N23, $C$2:$C$1001, 1, $D$2:$D$1001, 1,$E$2:E$1001,1)</f>
        <v>5</v>
      </c>
      <c r="P23">
        <f>COUNTIFS($B$2:$B$1001,N23, $C$2:$C$1001, 0, $D$2:$D$1001, 1,$E$2:E$1001,1)</f>
        <v>5</v>
      </c>
      <c r="Q23">
        <f>COUNTIFS($B$2:$B$1001,N23, $C$2:$C$1001, 0, $D$2:$D$1001, 0,$E$2:E$1001,1)</f>
        <v>5</v>
      </c>
      <c r="R23">
        <f>COUNTIFS($B$2:$B$1001,N23, $C$2:$C$1001, 1, $D$2:$D$1001, 0,$E$2:E$1001,1)</f>
        <v>5</v>
      </c>
      <c r="S23" s="5">
        <f>O23/(R23+O23)</f>
        <v>0.5</v>
      </c>
      <c r="T23" s="5">
        <f>Q23/(Q23+P23)</f>
        <v>0.5</v>
      </c>
    </row>
    <row r="24" spans="1:20" x14ac:dyDescent="0.2">
      <c r="A24" t="s">
        <v>35</v>
      </c>
      <c r="B24" t="s">
        <v>36</v>
      </c>
      <c r="C24">
        <v>0</v>
      </c>
      <c r="D24">
        <v>1</v>
      </c>
      <c r="E24">
        <v>3</v>
      </c>
      <c r="N24" t="str">
        <v>Cutting in Kitchen</v>
      </c>
      <c r="O24">
        <f>COUNTIFS($B$2:$B$1001,N24, $C$2:$C$1001, 1, $D$2:$D$1001, 1,$E$2:E$1001,1)</f>
        <v>6</v>
      </c>
      <c r="P24">
        <f>COUNTIFS($B$2:$B$1001,N24, $C$2:$C$1001, 0, $D$2:$D$1001, 1,$E$2:E$1001,1)</f>
        <v>6</v>
      </c>
      <c r="Q24">
        <f>COUNTIFS($B$2:$B$1001,N24, $C$2:$C$1001, 0, $D$2:$D$1001, 0,$E$2:E$1001,1)</f>
        <v>4</v>
      </c>
      <c r="R24">
        <f>COUNTIFS($B$2:$B$1001,N24, $C$2:$C$1001, 1, $D$2:$D$1001, 0,$E$2:E$1001,1)</f>
        <v>4</v>
      </c>
      <c r="S24" s="5">
        <f t="shared" ref="S24:S28" si="8">O24/(R24+O24)</f>
        <v>0.6</v>
      </c>
      <c r="T24" s="5">
        <f t="shared" ref="T24:T28" si="9">Q24/(Q24+P24)</f>
        <v>0.4</v>
      </c>
    </row>
    <row r="25" spans="1:20" x14ac:dyDescent="0.2">
      <c r="A25" t="s">
        <v>37</v>
      </c>
      <c r="B25" t="s">
        <v>38</v>
      </c>
      <c r="C25">
        <v>0</v>
      </c>
      <c r="D25">
        <v>1</v>
      </c>
      <c r="E25">
        <v>2</v>
      </c>
      <c r="I25" t="s">
        <v>1029</v>
      </c>
      <c r="J25">
        <f>SUM(J22:K23)</f>
        <v>200</v>
      </c>
      <c r="N25" t="str">
        <v>Throw Discuss</v>
      </c>
      <c r="O25">
        <f>COUNTIFS($B$2:$B$1001,N25, $C$2:$C$1001, 1, $D$2:$D$1001, 1,$E$2:E$1001,1)</f>
        <v>5</v>
      </c>
      <c r="P25">
        <f>COUNTIFS($B$2:$B$1001,N25, $C$2:$C$1001, 0, $D$2:$D$1001, 1,$E$2:E$1001,1)</f>
        <v>4</v>
      </c>
      <c r="Q25">
        <f>COUNTIFS($B$2:$B$1001,N25, $C$2:$C$1001, 0, $D$2:$D$1001, 0,$E$2:E$1001,1)</f>
        <v>6</v>
      </c>
      <c r="R25">
        <f>COUNTIFS($B$2:$B$1001,N25, $C$2:$C$1001, 1, $D$2:$D$1001, 0,$E$2:E$1001,1)</f>
        <v>5</v>
      </c>
      <c r="S25" s="5">
        <f t="shared" si="8"/>
        <v>0.5</v>
      </c>
      <c r="T25" s="5">
        <f t="shared" si="9"/>
        <v>0.6</v>
      </c>
    </row>
    <row r="26" spans="1:20" x14ac:dyDescent="0.2">
      <c r="A26" t="s">
        <v>39</v>
      </c>
      <c r="B26" t="s">
        <v>14</v>
      </c>
      <c r="C26">
        <v>0</v>
      </c>
      <c r="D26">
        <v>1</v>
      </c>
      <c r="E26">
        <v>5</v>
      </c>
      <c r="I26" t="s">
        <v>1030</v>
      </c>
      <c r="J26" s="5">
        <f>(J22+K23)/J25</f>
        <v>0.52500000000000002</v>
      </c>
      <c r="N26" t="str">
        <v>Tai Chi</v>
      </c>
      <c r="O26">
        <f>COUNTIFS($B$2:$B$1001,N26, $C$2:$C$1001, 1, $D$2:$D$1001, 1,$E$2:E$1001,1)</f>
        <v>8</v>
      </c>
      <c r="P26">
        <f>COUNTIFS($B$2:$B$1001,N26, $C$2:$C$1001, 0, $D$2:$D$1001, 1,$E$2:E$1001,1)</f>
        <v>6</v>
      </c>
      <c r="Q26">
        <f>COUNTIFS($B$2:$B$1001,N26, $C$2:$C$1001, 0, $D$2:$D$1001, 0,$E$2:E$1001,1)</f>
        <v>4</v>
      </c>
      <c r="R26">
        <f>COUNTIFS($B$2:$B$1001,N26, $C$2:$C$1001, 1, $D$2:$D$1001, 0,$E$2:E$1001,1)</f>
        <v>2</v>
      </c>
      <c r="S26" s="5">
        <f t="shared" si="8"/>
        <v>0.8</v>
      </c>
      <c r="T26" s="5">
        <f t="shared" si="9"/>
        <v>0.4</v>
      </c>
    </row>
    <row r="27" spans="1:20" x14ac:dyDescent="0.2">
      <c r="A27" t="s">
        <v>40</v>
      </c>
      <c r="B27" t="s">
        <v>36</v>
      </c>
      <c r="C27">
        <v>1</v>
      </c>
      <c r="D27">
        <v>0</v>
      </c>
      <c r="E27">
        <v>4</v>
      </c>
      <c r="N27" t="str">
        <v>Punch</v>
      </c>
      <c r="O27">
        <f>COUNTIFS($B$2:$B$1001,N27, $C$2:$C$1001, 1, $D$2:$D$1001, 1,$E$2:E$1001,1)</f>
        <v>8</v>
      </c>
      <c r="P27">
        <f>COUNTIFS($B$2:$B$1001,N27, $C$2:$C$1001, 0, $D$2:$D$1001, 1,$E$2:E$1001,1)</f>
        <v>6</v>
      </c>
      <c r="Q27">
        <f>COUNTIFS($B$2:$B$1001,N27, $C$2:$C$1001, 0, $D$2:$D$1001, 0,$E$2:E$1001,1)</f>
        <v>4</v>
      </c>
      <c r="R27">
        <f>COUNTIFS($B$2:$B$1001,N27, $C$2:$C$1001, 1, $D$2:$D$1001, 0,$E$2:E$1001,1)</f>
        <v>2</v>
      </c>
      <c r="S27" s="5">
        <f t="shared" si="8"/>
        <v>0.8</v>
      </c>
      <c r="T27" s="5">
        <f t="shared" si="9"/>
        <v>0.4</v>
      </c>
    </row>
    <row r="28" spans="1:20" x14ac:dyDescent="0.2">
      <c r="A28" t="s">
        <v>41</v>
      </c>
      <c r="B28" t="s">
        <v>21</v>
      </c>
      <c r="C28">
        <v>0</v>
      </c>
      <c r="D28">
        <v>0</v>
      </c>
      <c r="E28">
        <v>1</v>
      </c>
      <c r="I28" t="s">
        <v>1031</v>
      </c>
      <c r="J28">
        <f>J22/(J22+J23)</f>
        <v>0.53012048192771088</v>
      </c>
      <c r="N28" t="str">
        <v>Military Parade</v>
      </c>
      <c r="O28">
        <f>COUNTIFS($B$2:$B$1001,N28, $C$2:$C$1001, 1, $D$2:$D$1001, 1,$E$2:E$1001,1)</f>
        <v>5</v>
      </c>
      <c r="P28">
        <f>COUNTIFS($B$2:$B$1001,N28, $C$2:$C$1001, 0, $D$2:$D$1001, 1,$E$2:E$1001,1)</f>
        <v>6</v>
      </c>
      <c r="Q28">
        <f>COUNTIFS($B$2:$B$1001,N28, $C$2:$C$1001, 0, $D$2:$D$1001, 0,$E$2:E$1001,1)</f>
        <v>4</v>
      </c>
      <c r="R28">
        <f>COUNTIFS($B$2:$B$1001,N28, $C$2:$C$1001, 1, $D$2:$D$1001, 0,$E$2:E$1001,1)</f>
        <v>5</v>
      </c>
      <c r="S28" s="5">
        <f t="shared" si="8"/>
        <v>0.5</v>
      </c>
      <c r="T28" s="5">
        <f t="shared" si="9"/>
        <v>0.4</v>
      </c>
    </row>
    <row r="29" spans="1:20" x14ac:dyDescent="0.2">
      <c r="A29" t="s">
        <v>42</v>
      </c>
      <c r="B29" t="s">
        <v>10</v>
      </c>
      <c r="C29">
        <v>0</v>
      </c>
      <c r="D29">
        <v>0</v>
      </c>
      <c r="E29">
        <v>3</v>
      </c>
      <c r="I29" t="s">
        <v>1032</v>
      </c>
      <c r="J29">
        <f>(J22/(J22+K22))</f>
        <v>0.44</v>
      </c>
      <c r="N29" t="str">
        <v>Salsa Spin</v>
      </c>
      <c r="O29">
        <f>COUNTIFS($B$2:$B$1001,N29, $C$2:$C$1001, 1, $D$2:$D$1001, 1,$E$2:E$1001,1)</f>
        <v>0</v>
      </c>
      <c r="P29">
        <f>COUNTIFS($B$2:$B$1001,N29, $C$2:$C$1001, 0, $D$2:$D$1001, 1,$E$2:E$1001,1)</f>
        <v>3</v>
      </c>
      <c r="Q29">
        <f>COUNTIFS($B$2:$B$1001,N29, $C$2:$C$1001, 0, $D$2:$D$1001, 0,$E$2:E$1001,1)</f>
        <v>7</v>
      </c>
      <c r="R29">
        <f>COUNTIFS($B$2:$B$1001,N29, $C$2:$C$1001, 1, $D$2:$D$1001, 0,$E$2:E$1001,1)</f>
        <v>0</v>
      </c>
      <c r="S29" s="5" t="e">
        <f>O29/(R29+O29)</f>
        <v>#DIV/0!</v>
      </c>
      <c r="T29" s="5">
        <f>Q29/(Q29+P29)</f>
        <v>0.7</v>
      </c>
    </row>
    <row r="30" spans="1:20" x14ac:dyDescent="0.2">
      <c r="A30" t="s">
        <v>43</v>
      </c>
      <c r="B30" t="s">
        <v>6</v>
      </c>
      <c r="C30">
        <v>1</v>
      </c>
      <c r="D30">
        <v>1</v>
      </c>
      <c r="E30">
        <v>5</v>
      </c>
      <c r="I30" t="s">
        <v>1033</v>
      </c>
      <c r="J30">
        <f>2*(J28*J29/(J28+J29))</f>
        <v>0.48087431693989069</v>
      </c>
      <c r="N30" t="str">
        <v>Diving</v>
      </c>
      <c r="O30">
        <f>COUNTIFS($B$2:$B$1001,N30, $C$2:$C$1001, 1, $D$2:$D$1001, 1,$E$2:E$1001,1)</f>
        <v>7</v>
      </c>
      <c r="P30">
        <f>COUNTIFS($B$2:$B$1001,N30, $C$2:$C$1001, 0, $D$2:$D$1001, 1,$E$2:E$1001,1)</f>
        <v>9</v>
      </c>
      <c r="Q30">
        <f>COUNTIFS($B$2:$B$1001,N30, $C$2:$C$1001, 0, $D$2:$D$1001, 0,$E$2:E$1001,1)</f>
        <v>1</v>
      </c>
      <c r="R30">
        <f>COUNTIFS($B$2:$B$1001,N30, $C$2:$C$1001, 1, $D$2:$D$1001, 0,$E$2:E$1001,1)</f>
        <v>3</v>
      </c>
      <c r="S30" s="5">
        <f t="shared" ref="S30:S32" si="10">O30/(R30+O30)</f>
        <v>0.7</v>
      </c>
      <c r="T30" s="5">
        <f t="shared" ref="T30:T32" si="11">Q30/(Q30+P30)</f>
        <v>0.1</v>
      </c>
    </row>
    <row r="31" spans="1:20" x14ac:dyDescent="0.2">
      <c r="A31" t="s">
        <v>44</v>
      </c>
      <c r="B31" t="s">
        <v>16</v>
      </c>
      <c r="C31">
        <v>0</v>
      </c>
      <c r="D31">
        <v>0</v>
      </c>
      <c r="E31">
        <v>5</v>
      </c>
      <c r="N31" t="str">
        <v>Walking With Dog</v>
      </c>
      <c r="O31">
        <f>COUNTIFS($B$2:$B$1001,N31, $C$2:$C$1001, 1, $D$2:$D$1001, 1,$E$2:E$1001,1)</f>
        <v>9</v>
      </c>
      <c r="P31">
        <f>COUNTIFS($B$2:$B$1001,N31, $C$2:$C$1001, 0, $D$2:$D$1001, 1,$E$2:E$1001,1)</f>
        <v>7</v>
      </c>
      <c r="Q31">
        <f>COUNTIFS($B$2:$B$1001,N31, $C$2:$C$1001, 0, $D$2:$D$1001, 0,$E$2:E$1001,1)</f>
        <v>3</v>
      </c>
      <c r="R31">
        <f>COUNTIFS($B$2:$B$1001,N31, $C$2:$C$1001, 1, $D$2:$D$1001, 0,$E$2:E$1001,1)</f>
        <v>1</v>
      </c>
      <c r="S31" s="5">
        <f t="shared" si="10"/>
        <v>0.9</v>
      </c>
      <c r="T31" s="5">
        <f t="shared" si="11"/>
        <v>0.3</v>
      </c>
    </row>
    <row r="32" spans="1:20" x14ac:dyDescent="0.2">
      <c r="A32" t="s">
        <v>45</v>
      </c>
      <c r="B32" t="s">
        <v>16</v>
      </c>
      <c r="C32">
        <v>1</v>
      </c>
      <c r="D32">
        <v>0</v>
      </c>
      <c r="E32">
        <v>4</v>
      </c>
      <c r="I32" t="s">
        <v>1034</v>
      </c>
      <c r="J32">
        <f>K23/(K23+K22)</f>
        <v>0.5213675213675214</v>
      </c>
      <c r="N32" t="str">
        <v>Horse Riding</v>
      </c>
      <c r="O32">
        <f>COUNTIFS($B$2:$B$1001,N32, $C$2:$C$1001, 1, $D$2:$D$1001, 1,$E$2:E$1001,1)</f>
        <v>3</v>
      </c>
      <c r="P32">
        <f>COUNTIFS($B$2:$B$1001,N32, $C$2:$C$1001, 0, $D$2:$D$1001, 1,$E$2:E$1001,1)</f>
        <v>4</v>
      </c>
      <c r="Q32">
        <f>COUNTIFS($B$2:$B$1001,N32, $C$2:$C$1001, 0, $D$2:$D$1001, 0,$E$2:E$1001,1)</f>
        <v>6</v>
      </c>
      <c r="R32">
        <f>COUNTIFS($B$2:$B$1001,N32, $C$2:$C$1001, 1, $D$2:$D$1001, 0,$E$2:E$1001,1)</f>
        <v>7</v>
      </c>
      <c r="S32" s="5">
        <f t="shared" si="10"/>
        <v>0.3</v>
      </c>
      <c r="T32" s="5">
        <f t="shared" si="11"/>
        <v>0.6</v>
      </c>
    </row>
    <row r="33" spans="1:20" x14ac:dyDescent="0.2">
      <c r="A33" t="s">
        <v>46</v>
      </c>
      <c r="B33" t="s">
        <v>21</v>
      </c>
      <c r="C33">
        <v>0</v>
      </c>
      <c r="D33">
        <v>1</v>
      </c>
      <c r="E33">
        <v>2</v>
      </c>
      <c r="I33" t="s">
        <v>1035</v>
      </c>
      <c r="J33">
        <f>K23/(K23+J23)</f>
        <v>0.61</v>
      </c>
      <c r="N33" t="str">
        <v>iÃà¬ª¬øSalsa Spin</v>
      </c>
    </row>
    <row r="34" spans="1:20" x14ac:dyDescent="0.2">
      <c r="A34" t="s">
        <v>47</v>
      </c>
      <c r="B34" t="s">
        <v>21</v>
      </c>
      <c r="C34">
        <v>0</v>
      </c>
      <c r="D34">
        <v>0</v>
      </c>
      <c r="E34">
        <v>5</v>
      </c>
      <c r="I34" t="s">
        <v>1036</v>
      </c>
      <c r="J34">
        <f>2*(J32*J33/(J32+J33))</f>
        <v>0.56221198156682028</v>
      </c>
    </row>
    <row r="35" spans="1:20" x14ac:dyDescent="0.2">
      <c r="A35" t="s">
        <v>48</v>
      </c>
      <c r="B35" t="s">
        <v>33</v>
      </c>
      <c r="C35">
        <v>1</v>
      </c>
      <c r="D35">
        <v>0</v>
      </c>
      <c r="E35">
        <v>4</v>
      </c>
    </row>
    <row r="36" spans="1:20" x14ac:dyDescent="0.2">
      <c r="A36" t="s">
        <v>49</v>
      </c>
      <c r="B36" t="s">
        <v>8</v>
      </c>
      <c r="C36">
        <v>1</v>
      </c>
      <c r="D36">
        <v>0</v>
      </c>
      <c r="E36">
        <v>1</v>
      </c>
      <c r="I36" s="2">
        <v>2</v>
      </c>
      <c r="J36" s="2"/>
      <c r="K36" s="2"/>
      <c r="N36" s="2">
        <v>2</v>
      </c>
      <c r="O36" s="2"/>
      <c r="P36" s="2"/>
      <c r="Q36" s="2"/>
      <c r="R36" s="2"/>
      <c r="S36" s="2"/>
      <c r="T36" s="2"/>
    </row>
    <row r="37" spans="1:20" ht="21" x14ac:dyDescent="0.25">
      <c r="A37" t="s">
        <v>50</v>
      </c>
      <c r="B37" t="s">
        <v>16</v>
      </c>
      <c r="C37">
        <v>0</v>
      </c>
      <c r="D37">
        <v>1</v>
      </c>
      <c r="E37">
        <v>4</v>
      </c>
      <c r="I37" s="3" t="s">
        <v>1017</v>
      </c>
      <c r="J37" s="3"/>
      <c r="K37" s="3"/>
      <c r="O37" s="3" t="s">
        <v>1018</v>
      </c>
      <c r="P37" s="3"/>
    </row>
    <row r="38" spans="1:20" x14ac:dyDescent="0.2">
      <c r="A38" t="s">
        <v>51</v>
      </c>
      <c r="B38" t="s">
        <v>16</v>
      </c>
      <c r="C38">
        <v>1</v>
      </c>
      <c r="D38">
        <v>0</v>
      </c>
      <c r="E38">
        <v>5</v>
      </c>
      <c r="J38" t="s">
        <v>1019</v>
      </c>
      <c r="K38" t="s">
        <v>1020</v>
      </c>
    </row>
    <row r="39" spans="1:20" ht="19" x14ac:dyDescent="0.25">
      <c r="A39" t="s">
        <v>52</v>
      </c>
      <c r="B39" t="s">
        <v>10</v>
      </c>
      <c r="C39">
        <v>0</v>
      </c>
      <c r="D39">
        <v>1</v>
      </c>
      <c r="E39">
        <v>5</v>
      </c>
      <c r="I39" t="s">
        <v>1021</v>
      </c>
      <c r="J39">
        <f>COUNTIFS(C$2:C$1001, 0, D$2:D$1001, 0, E$2:E$1001, 2)</f>
        <v>38</v>
      </c>
      <c r="K39">
        <f>COUNTIFS(C$2:C$1001, 0, D$2:D$1001, 1,E$2:E$1001,2)</f>
        <v>62</v>
      </c>
      <c r="N39" s="4" t="str" cm="1">
        <f t="array" ref="N39:N50">_xlfn.UNIQUE(B$1:B$1001)</f>
        <v>Category</v>
      </c>
      <c r="O39" s="1" t="s">
        <v>1022</v>
      </c>
      <c r="P39" s="1" t="s">
        <v>1023</v>
      </c>
      <c r="Q39" s="1" t="s">
        <v>1024</v>
      </c>
      <c r="R39" s="1" t="s">
        <v>1025</v>
      </c>
      <c r="S39" s="1" t="s">
        <v>1026</v>
      </c>
      <c r="T39" s="1" t="s">
        <v>1027</v>
      </c>
    </row>
    <row r="40" spans="1:20" x14ac:dyDescent="0.2">
      <c r="A40" t="s">
        <v>53</v>
      </c>
      <c r="B40" t="s">
        <v>16</v>
      </c>
      <c r="C40">
        <v>0</v>
      </c>
      <c r="D40">
        <v>0</v>
      </c>
      <c r="E40">
        <v>1</v>
      </c>
      <c r="I40" t="s">
        <v>1028</v>
      </c>
      <c r="J40">
        <f>COUNTIFS(C$2:C$1001, 1, D$2:D$1001, 0,E$2:E$1001,2)</f>
        <v>39</v>
      </c>
      <c r="K40">
        <f>COUNTIFS(C$2:C$1001, 1, D$2:D$1001, 1,E$2:E$1001,2)</f>
        <v>61</v>
      </c>
      <c r="N40" t="str">
        <v>Fencing</v>
      </c>
      <c r="O40">
        <f>COUNTIFS($B$2:$B$1001,N40, $C$2:$C$1001, 1, $D$2:$D$1001, 1,$E$2:E$1001,2)</f>
        <v>8</v>
      </c>
      <c r="P40">
        <f>COUNTIFS($B$2:$B$1001,N40, $C$2:$C$1001, 0, $D$2:$D$1001, 1,$E$2:E$1001,2)</f>
        <v>4</v>
      </c>
      <c r="Q40">
        <f>COUNTIFS($B$2:$B$1001,N40, $C$2:$C$1001, 0, $D$2:$D$1001, 0,$E$2:E$1001,2)</f>
        <v>6</v>
      </c>
      <c r="R40">
        <f>COUNTIFS($B$2:$B$1001,N40, $C$2:$C$1001, 1, $D$2:$D$1001, 0,$E$2:E$1001,2)</f>
        <v>2</v>
      </c>
      <c r="S40" s="5">
        <f>O40/(R40+O40)</f>
        <v>0.8</v>
      </c>
      <c r="T40" s="5">
        <f>Q40/(Q40+P40)</f>
        <v>0.6</v>
      </c>
    </row>
    <row r="41" spans="1:20" x14ac:dyDescent="0.2">
      <c r="A41" t="s">
        <v>54</v>
      </c>
      <c r="B41" t="s">
        <v>12</v>
      </c>
      <c r="C41">
        <v>0</v>
      </c>
      <c r="D41">
        <v>1</v>
      </c>
      <c r="E41">
        <v>2</v>
      </c>
      <c r="N41" t="str">
        <v>Cutting in Kitchen</v>
      </c>
      <c r="O41">
        <f>COUNTIFS($B$2:$B$1001,N41, $C$2:$C$1001, 1, $D$2:$D$1001, 1,$E$2:E$1001,2)</f>
        <v>9</v>
      </c>
      <c r="P41">
        <f>COUNTIFS($B$2:$B$1001,N41, $C$2:$C$1001, 0, $D$2:$D$1001, 1,$E$2:E$1001,2)</f>
        <v>5</v>
      </c>
      <c r="Q41">
        <f>COUNTIFS($B$2:$B$1001,N41, $C$2:$C$1001, 0, $D$2:$D$1001, 0,$E$2:E$1001,2)</f>
        <v>5</v>
      </c>
      <c r="R41">
        <f>COUNTIFS($B$2:$B$1001,N41, $C$2:$C$1001, 1, $D$2:$D$1001, 0,$E$2:E$1001,2)</f>
        <v>1</v>
      </c>
      <c r="S41" s="5">
        <f t="shared" ref="S41:S45" si="12">O41/(R41+O41)</f>
        <v>0.9</v>
      </c>
      <c r="T41" s="5">
        <f t="shared" ref="T41:T45" si="13">Q41/(Q41+P41)</f>
        <v>0.5</v>
      </c>
    </row>
    <row r="42" spans="1:20" x14ac:dyDescent="0.2">
      <c r="A42" t="s">
        <v>55</v>
      </c>
      <c r="B42" t="s">
        <v>33</v>
      </c>
      <c r="C42">
        <v>1</v>
      </c>
      <c r="D42">
        <v>1</v>
      </c>
      <c r="E42">
        <v>2</v>
      </c>
      <c r="I42" t="s">
        <v>1029</v>
      </c>
      <c r="J42">
        <f>SUM(J39:K40)</f>
        <v>200</v>
      </c>
      <c r="N42" t="str">
        <v>Throw Discuss</v>
      </c>
      <c r="O42">
        <f>COUNTIFS($B$2:$B$1001,N42, $C$2:$C$1001, 1, $D$2:$D$1001, 1,$E$2:E$1001,2)</f>
        <v>4</v>
      </c>
      <c r="P42">
        <f>COUNTIFS($B$2:$B$1001,N42, $C$2:$C$1001, 0, $D$2:$D$1001, 1,$E$2:E$1001,2)</f>
        <v>8</v>
      </c>
      <c r="Q42">
        <f>COUNTIFS($B$2:$B$1001,N42, $C$2:$C$1001, 0, $D$2:$D$1001, 0,$E$2:E$1001,2)</f>
        <v>2</v>
      </c>
      <c r="R42">
        <f>COUNTIFS($B$2:$B$1001,N42, $C$2:$C$1001, 1, $D$2:$D$1001, 0,$E$2:E$1001,2)</f>
        <v>6</v>
      </c>
      <c r="S42" s="5">
        <f t="shared" si="12"/>
        <v>0.4</v>
      </c>
      <c r="T42" s="5">
        <f t="shared" si="13"/>
        <v>0.2</v>
      </c>
    </row>
    <row r="43" spans="1:20" x14ac:dyDescent="0.2">
      <c r="A43" t="s">
        <v>56</v>
      </c>
      <c r="B43" t="s">
        <v>21</v>
      </c>
      <c r="C43">
        <v>1</v>
      </c>
      <c r="D43">
        <v>0</v>
      </c>
      <c r="E43">
        <v>2</v>
      </c>
      <c r="I43" t="s">
        <v>1030</v>
      </c>
      <c r="J43" s="5">
        <f>(J39+K40)/J42</f>
        <v>0.495</v>
      </c>
      <c r="N43" t="str">
        <v>Tai Chi</v>
      </c>
      <c r="O43">
        <f>COUNTIFS($B$2:$B$1001,N43, $C$2:$C$1001, 1, $D$2:$D$1001, 1,$E$2:E$1001,2)</f>
        <v>7</v>
      </c>
      <c r="P43">
        <f>COUNTIFS($B$2:$B$1001,N43, $C$2:$C$1001, 0, $D$2:$D$1001, 1,$E$2:E$1001,2)</f>
        <v>7</v>
      </c>
      <c r="Q43">
        <f>COUNTIFS($B$2:$B$1001,N43, $C$2:$C$1001, 0, $D$2:$D$1001, 0,$E$2:E$1001,2)</f>
        <v>3</v>
      </c>
      <c r="R43">
        <f>COUNTIFS($B$2:$B$1001,N43, $C$2:$C$1001, 1, $D$2:$D$1001, 0,$E$2:E$1001,2)</f>
        <v>3</v>
      </c>
      <c r="S43" s="5">
        <f t="shared" si="12"/>
        <v>0.7</v>
      </c>
      <c r="T43" s="5">
        <f t="shared" si="13"/>
        <v>0.3</v>
      </c>
    </row>
    <row r="44" spans="1:20" x14ac:dyDescent="0.2">
      <c r="A44" t="s">
        <v>57</v>
      </c>
      <c r="B44" t="s">
        <v>21</v>
      </c>
      <c r="C44">
        <v>0</v>
      </c>
      <c r="D44">
        <v>0</v>
      </c>
      <c r="E44">
        <v>5</v>
      </c>
      <c r="N44" t="str">
        <v>Punch</v>
      </c>
      <c r="O44">
        <f>COUNTIFS($B$2:$B$1001,N44, $C$2:$C$1001, 1, $D$2:$D$1001, 1,$E$2:E$1001,2)</f>
        <v>7</v>
      </c>
      <c r="P44">
        <f>COUNTIFS($B$2:$B$1001,N44, $C$2:$C$1001, 0, $D$2:$D$1001, 1,$E$2:E$1001,2)</f>
        <v>7</v>
      </c>
      <c r="Q44">
        <f>COUNTIFS($B$2:$B$1001,N44, $C$2:$C$1001, 0, $D$2:$D$1001, 0,$E$2:E$1001,2)</f>
        <v>3</v>
      </c>
      <c r="R44">
        <f>COUNTIFS($B$2:$B$1001,N44, $C$2:$C$1001, 1, $D$2:$D$1001, 0,$E$2:E$1001,2)</f>
        <v>3</v>
      </c>
      <c r="S44" s="5">
        <f t="shared" si="12"/>
        <v>0.7</v>
      </c>
      <c r="T44" s="5">
        <f t="shared" si="13"/>
        <v>0.3</v>
      </c>
    </row>
    <row r="45" spans="1:20" x14ac:dyDescent="0.2">
      <c r="A45" t="s">
        <v>58</v>
      </c>
      <c r="B45" t="s">
        <v>38</v>
      </c>
      <c r="C45">
        <v>0</v>
      </c>
      <c r="D45">
        <v>1</v>
      </c>
      <c r="E45">
        <v>2</v>
      </c>
      <c r="I45" t="s">
        <v>1031</v>
      </c>
      <c r="J45">
        <f>J39/(J39+J40)</f>
        <v>0.4935064935064935</v>
      </c>
      <c r="N45" t="str">
        <v>Military Parade</v>
      </c>
      <c r="O45">
        <f>COUNTIFS($B$2:$B$1001,N45, $C$2:$C$1001, 1, $D$2:$D$1001, 1,$E$2:E$1001,2)</f>
        <v>6</v>
      </c>
      <c r="P45">
        <f>COUNTIFS($B$2:$B$1001,N45, $C$2:$C$1001, 0, $D$2:$D$1001, 1,$E$2:E$1001,2)</f>
        <v>4</v>
      </c>
      <c r="Q45">
        <f>COUNTIFS($B$2:$B$1001,N45, $C$2:$C$1001, 0, $D$2:$D$1001, 0,$E$2:E$1001,2)</f>
        <v>6</v>
      </c>
      <c r="R45">
        <f>COUNTIFS($B$2:$B$1001,N45, $C$2:$C$1001, 1, $D$2:$D$1001, 0,$E$2:E$1001,2)</f>
        <v>4</v>
      </c>
      <c r="S45" s="5">
        <f t="shared" si="12"/>
        <v>0.6</v>
      </c>
      <c r="T45" s="5">
        <f t="shared" si="13"/>
        <v>0.6</v>
      </c>
    </row>
    <row r="46" spans="1:20" x14ac:dyDescent="0.2">
      <c r="A46" t="s">
        <v>59</v>
      </c>
      <c r="B46" t="s">
        <v>21</v>
      </c>
      <c r="C46">
        <v>1</v>
      </c>
      <c r="D46">
        <v>0</v>
      </c>
      <c r="E46">
        <v>3</v>
      </c>
      <c r="I46" t="s">
        <v>1032</v>
      </c>
      <c r="J46">
        <f>(J39/(J39+K39))</f>
        <v>0.38</v>
      </c>
      <c r="N46" t="str">
        <v>Salsa Spin</v>
      </c>
      <c r="O46">
        <f>COUNTIFS($B$2:$B$1001,N46, $C$2:$C$1001, 1, $D$2:$D$1001, 1,$E$2:E$1001,2)</f>
        <v>7</v>
      </c>
      <c r="P46">
        <f>COUNTIFS($B$2:$B$1001,N46, $C$2:$C$1001, 0, $D$2:$D$1001, 1,$E$2:E$1001,2)</f>
        <v>6</v>
      </c>
      <c r="Q46">
        <f>COUNTIFS($B$2:$B$1001,N46, $C$2:$C$1001, 0, $D$2:$D$1001, 0,$E$2:E$1001,2)</f>
        <v>4</v>
      </c>
      <c r="R46">
        <f>COUNTIFS($B$2:$B$1001,N46, $C$2:$C$1001, 1, $D$2:$D$1001, 0,$E$2:E$1001,2)</f>
        <v>3</v>
      </c>
      <c r="S46" s="5">
        <f>O46/(R46+O46)</f>
        <v>0.7</v>
      </c>
      <c r="T46" s="5">
        <f>Q46/(Q46+P46)</f>
        <v>0.4</v>
      </c>
    </row>
    <row r="47" spans="1:20" x14ac:dyDescent="0.2">
      <c r="A47" t="s">
        <v>60</v>
      </c>
      <c r="B47" t="s">
        <v>33</v>
      </c>
      <c r="C47">
        <v>1</v>
      </c>
      <c r="D47">
        <v>1</v>
      </c>
      <c r="E47">
        <v>2</v>
      </c>
      <c r="I47" t="s">
        <v>1033</v>
      </c>
      <c r="J47">
        <f>2*(J45*J46/(J45+J46))</f>
        <v>0.42937853107344626</v>
      </c>
      <c r="N47" t="str">
        <v>Diving</v>
      </c>
      <c r="O47">
        <f>COUNTIFS($B$2:$B$1001,N47, $C$2:$C$1001, 1, $D$2:$D$1001, 1,$E$2:E$1001,2)</f>
        <v>4</v>
      </c>
      <c r="P47">
        <f>COUNTIFS($B$2:$B$1001,N47, $C$2:$C$1001, 0, $D$2:$D$1001, 1,$E$2:E$1001,2)</f>
        <v>5</v>
      </c>
      <c r="Q47">
        <f>COUNTIFS($B$2:$B$1001,N47, $C$2:$C$1001, 0, $D$2:$D$1001, 0,$E$2:E$1001,2)</f>
        <v>5</v>
      </c>
      <c r="R47">
        <f>COUNTIFS($B$2:$B$1001,N47, $C$2:$C$1001, 1, $D$2:$D$1001, 0,$E$2:E$1001,2)</f>
        <v>6</v>
      </c>
      <c r="S47" s="5">
        <f t="shared" ref="S47:S49" si="14">O47/(R47+O47)</f>
        <v>0.4</v>
      </c>
      <c r="T47" s="5">
        <f t="shared" ref="T47:T49" si="15">Q47/(Q47+P47)</f>
        <v>0.5</v>
      </c>
    </row>
    <row r="48" spans="1:20" x14ac:dyDescent="0.2">
      <c r="A48" t="s">
        <v>61</v>
      </c>
      <c r="B48" t="s">
        <v>8</v>
      </c>
      <c r="C48">
        <v>1</v>
      </c>
      <c r="D48">
        <v>1</v>
      </c>
      <c r="E48">
        <v>2</v>
      </c>
      <c r="N48" t="str">
        <v>Walking With Dog</v>
      </c>
      <c r="O48">
        <f>COUNTIFS($B$2:$B$1001,N48, $C$2:$C$1001, 1, $D$2:$D$1001, 1,$E$2:E$1001,2)</f>
        <v>3</v>
      </c>
      <c r="P48">
        <f>COUNTIFS($B$2:$B$1001,N48, $C$2:$C$1001, 0, $D$2:$D$1001, 1,$E$2:E$1001,2)</f>
        <v>7</v>
      </c>
      <c r="Q48">
        <f>COUNTIFS($B$2:$B$1001,N48, $C$2:$C$1001, 0, $D$2:$D$1001, 0,$E$2:E$1001,2)</f>
        <v>3</v>
      </c>
      <c r="R48">
        <f>COUNTIFS($B$2:$B$1001,N48, $C$2:$C$1001, 1, $D$2:$D$1001, 0,$E$2:E$1001,2)</f>
        <v>7</v>
      </c>
      <c r="S48" s="5">
        <f t="shared" si="14"/>
        <v>0.3</v>
      </c>
      <c r="T48" s="5">
        <f t="shared" si="15"/>
        <v>0.3</v>
      </c>
    </row>
    <row r="49" spans="1:20" x14ac:dyDescent="0.2">
      <c r="A49" t="s">
        <v>62</v>
      </c>
      <c r="B49" t="s">
        <v>16</v>
      </c>
      <c r="C49">
        <v>1</v>
      </c>
      <c r="D49">
        <v>1</v>
      </c>
      <c r="E49">
        <v>2</v>
      </c>
      <c r="I49" t="s">
        <v>1034</v>
      </c>
      <c r="J49">
        <f>K40/(K40+K39)</f>
        <v>0.49593495934959347</v>
      </c>
      <c r="N49" t="str">
        <v>Horse Riding</v>
      </c>
      <c r="O49">
        <f>COUNTIFS($B$2:$B$1001,N49, $C$2:$C$1001, 1, $D$2:$D$1001, 1,$E$2:E$1001,2)</f>
        <v>6</v>
      </c>
      <c r="P49">
        <f>COUNTIFS($B$2:$B$1001,N49, $C$2:$C$1001, 0, $D$2:$D$1001, 1,$E$2:E$1001,2)</f>
        <v>9</v>
      </c>
      <c r="Q49">
        <f>COUNTIFS($B$2:$B$1001,N49, $C$2:$C$1001, 0, $D$2:$D$1001, 0,$E$2:E$1001,2)</f>
        <v>1</v>
      </c>
      <c r="R49">
        <f>COUNTIFS($B$2:$B$1001,N49, $C$2:$C$1001, 1, $D$2:$D$1001, 0,$E$2:E$1001,2)</f>
        <v>4</v>
      </c>
      <c r="S49" s="5">
        <f t="shared" si="14"/>
        <v>0.6</v>
      </c>
      <c r="T49" s="5">
        <f t="shared" si="15"/>
        <v>0.1</v>
      </c>
    </row>
    <row r="50" spans="1:20" x14ac:dyDescent="0.2">
      <c r="A50" t="s">
        <v>63</v>
      </c>
      <c r="B50" t="s">
        <v>33</v>
      </c>
      <c r="C50">
        <v>1</v>
      </c>
      <c r="D50">
        <v>1</v>
      </c>
      <c r="E50">
        <v>1</v>
      </c>
      <c r="I50" t="s">
        <v>1035</v>
      </c>
      <c r="J50">
        <f>K40/(K40+J40)</f>
        <v>0.61</v>
      </c>
      <c r="N50" t="str">
        <v>iÃà¬ª¬øSalsa Spin</v>
      </c>
    </row>
    <row r="51" spans="1:20" x14ac:dyDescent="0.2">
      <c r="A51" t="s">
        <v>64</v>
      </c>
      <c r="B51" t="s">
        <v>38</v>
      </c>
      <c r="C51">
        <v>0</v>
      </c>
      <c r="D51">
        <v>0</v>
      </c>
      <c r="E51">
        <v>4</v>
      </c>
      <c r="I51" t="s">
        <v>1036</v>
      </c>
      <c r="J51">
        <f>2*(J49*J50/(J49+J50))</f>
        <v>0.54708520179372189</v>
      </c>
    </row>
    <row r="52" spans="1:20" x14ac:dyDescent="0.2">
      <c r="A52" t="s">
        <v>65</v>
      </c>
      <c r="B52" t="s">
        <v>33</v>
      </c>
      <c r="C52">
        <v>0</v>
      </c>
      <c r="D52">
        <v>1</v>
      </c>
      <c r="E52">
        <v>5</v>
      </c>
    </row>
    <row r="53" spans="1:20" x14ac:dyDescent="0.2">
      <c r="A53" t="s">
        <v>66</v>
      </c>
      <c r="B53" t="s">
        <v>10</v>
      </c>
      <c r="C53">
        <v>0</v>
      </c>
      <c r="D53">
        <v>0</v>
      </c>
      <c r="E53">
        <v>5</v>
      </c>
      <c r="I53" s="2">
        <v>3</v>
      </c>
      <c r="J53" s="2"/>
      <c r="K53" s="2"/>
      <c r="N53" s="2">
        <v>3</v>
      </c>
      <c r="O53" s="2"/>
      <c r="P53" s="2"/>
      <c r="Q53" s="2"/>
      <c r="R53" s="2"/>
      <c r="S53" s="2"/>
      <c r="T53" s="2"/>
    </row>
    <row r="54" spans="1:20" ht="21" x14ac:dyDescent="0.25">
      <c r="A54" t="s">
        <v>67</v>
      </c>
      <c r="B54" t="s">
        <v>36</v>
      </c>
      <c r="C54">
        <v>1</v>
      </c>
      <c r="D54">
        <v>1</v>
      </c>
      <c r="E54">
        <v>4</v>
      </c>
      <c r="I54" s="3" t="s">
        <v>1017</v>
      </c>
      <c r="J54" s="3"/>
      <c r="K54" s="3"/>
      <c r="O54" s="3" t="s">
        <v>1018</v>
      </c>
      <c r="P54" s="3"/>
    </row>
    <row r="55" spans="1:20" x14ac:dyDescent="0.2">
      <c r="A55" t="s">
        <v>68</v>
      </c>
      <c r="B55" t="s">
        <v>36</v>
      </c>
      <c r="C55">
        <v>1</v>
      </c>
      <c r="D55">
        <v>0</v>
      </c>
      <c r="E55">
        <v>2</v>
      </c>
      <c r="J55" t="s">
        <v>1019</v>
      </c>
      <c r="K55" t="s">
        <v>1020</v>
      </c>
    </row>
    <row r="56" spans="1:20" ht="19" x14ac:dyDescent="0.25">
      <c r="A56" t="s">
        <v>69</v>
      </c>
      <c r="B56" t="s">
        <v>14</v>
      </c>
      <c r="C56">
        <v>1</v>
      </c>
      <c r="D56">
        <v>1</v>
      </c>
      <c r="E56">
        <v>3</v>
      </c>
      <c r="I56" t="s">
        <v>1021</v>
      </c>
      <c r="J56">
        <f>COUNTIFS(C$2:C$1001, 0, D$2:D$1001, 0, E$2:E$1001, 3)</f>
        <v>42</v>
      </c>
      <c r="K56">
        <f>COUNTIFS(C$2:C$1001, 0, D$2:D$1001, 1,E$2:E$1001,3)</f>
        <v>58</v>
      </c>
      <c r="N56" s="4" t="str" cm="1">
        <f t="array" ref="N56:N67">_xlfn.UNIQUE(B$1:B$1001)</f>
        <v>Category</v>
      </c>
      <c r="O56" s="1" t="s">
        <v>1022</v>
      </c>
      <c r="P56" s="1" t="s">
        <v>1023</v>
      </c>
      <c r="Q56" s="1" t="s">
        <v>1024</v>
      </c>
      <c r="R56" s="1" t="s">
        <v>1025</v>
      </c>
      <c r="S56" s="1" t="s">
        <v>1026</v>
      </c>
      <c r="T56" s="1" t="s">
        <v>1027</v>
      </c>
    </row>
    <row r="57" spans="1:20" x14ac:dyDescent="0.2">
      <c r="A57" t="s">
        <v>70</v>
      </c>
      <c r="B57" t="s">
        <v>38</v>
      </c>
      <c r="C57">
        <v>1</v>
      </c>
      <c r="D57">
        <v>1</v>
      </c>
      <c r="E57">
        <v>5</v>
      </c>
      <c r="I57" t="s">
        <v>1028</v>
      </c>
      <c r="J57">
        <f>COUNTIFS(C$2:C$1001, 1, D$2:D$1001, 0,E$2:E$1001,3)</f>
        <v>41</v>
      </c>
      <c r="K57">
        <f>COUNTIFS(C$2:C$1001, 1, D$2:D$1001, 1,E$2:E$1001,3)</f>
        <v>59</v>
      </c>
      <c r="N57" t="str">
        <v>Fencing</v>
      </c>
      <c r="O57">
        <f>COUNTIFS($B$2:$B$1001,N57, $C$2:$C$1001, 1, $D$2:$D$1001, 1,$E$2:E$1001,3)</f>
        <v>3</v>
      </c>
      <c r="P57">
        <f>COUNTIFS($B$2:$B$1001,N57, $C$2:$C$1001, 0, $D$2:$D$1001, 1,$E$2:E$1001,3)</f>
        <v>4</v>
      </c>
      <c r="Q57">
        <f>COUNTIFS($B$2:$B$1001,N57, $C$2:$C$1001, 0, $D$2:$D$1001, 0,$E$2:E$1001,3)</f>
        <v>6</v>
      </c>
      <c r="R57">
        <f>COUNTIFS($B$2:$B$1001,N57, $C$2:$C$1001, 1, $D$2:$D$1001, 0,$E$2:E$1001,3)</f>
        <v>7</v>
      </c>
      <c r="S57" s="5">
        <f>O57/(R57+O57)</f>
        <v>0.3</v>
      </c>
      <c r="T57" s="5">
        <f>Q57/(Q57+P57)</f>
        <v>0.6</v>
      </c>
    </row>
    <row r="58" spans="1:20" x14ac:dyDescent="0.2">
      <c r="A58" t="s">
        <v>71</v>
      </c>
      <c r="B58" t="s">
        <v>14</v>
      </c>
      <c r="C58">
        <v>0</v>
      </c>
      <c r="D58">
        <v>0</v>
      </c>
      <c r="E58">
        <v>5</v>
      </c>
      <c r="N58" t="str">
        <v>Cutting in Kitchen</v>
      </c>
      <c r="O58">
        <f>COUNTIFS($B$2:$B$1001,N58, $C$2:$C$1001, 1, $D$2:$D$1001, 1,$E$2:E$1001,3)</f>
        <v>7</v>
      </c>
      <c r="P58">
        <f>COUNTIFS($B$2:$B$1001,N58, $C$2:$C$1001, 0, $D$2:$D$1001, 1,$E$2:E$1001,3)</f>
        <v>8</v>
      </c>
      <c r="Q58">
        <f>COUNTIFS($B$2:$B$1001,N58, $C$2:$C$1001, 0, $D$2:$D$1001, 0,$E$2:E$1001,3)</f>
        <v>2</v>
      </c>
      <c r="R58">
        <f>COUNTIFS($B$2:$B$1001,N58, $C$2:$C$1001, 1, $D$2:$D$1001, 0,$E$2:E$1001,3)</f>
        <v>3</v>
      </c>
      <c r="S58" s="5">
        <f t="shared" ref="S58:S62" si="16">O58/(R58+O58)</f>
        <v>0.7</v>
      </c>
      <c r="T58" s="5">
        <f t="shared" ref="T58:T62" si="17">Q58/(Q58+P58)</f>
        <v>0.2</v>
      </c>
    </row>
    <row r="59" spans="1:20" x14ac:dyDescent="0.2">
      <c r="A59" t="s">
        <v>72</v>
      </c>
      <c r="B59" t="s">
        <v>21</v>
      </c>
      <c r="C59">
        <v>1</v>
      </c>
      <c r="D59">
        <v>1</v>
      </c>
      <c r="E59">
        <v>4</v>
      </c>
      <c r="I59" t="s">
        <v>1029</v>
      </c>
      <c r="J59">
        <f>SUM(J56:K57)</f>
        <v>200</v>
      </c>
      <c r="N59" t="str">
        <v>Throw Discuss</v>
      </c>
      <c r="O59">
        <f>COUNTIFS($B$2:$B$1001,N59, $C$2:$C$1001, 1, $D$2:$D$1001, 1,$E$2:E$1001,3)</f>
        <v>7</v>
      </c>
      <c r="P59">
        <f>COUNTIFS($B$2:$B$1001,N59, $C$2:$C$1001, 0, $D$2:$D$1001, 1,$E$2:E$1001,3)</f>
        <v>5</v>
      </c>
      <c r="Q59">
        <f>COUNTIFS($B$2:$B$1001,N59, $C$2:$C$1001, 0, $D$2:$D$1001, 0,$E$2:E$1001,3)</f>
        <v>5</v>
      </c>
      <c r="R59">
        <f>COUNTIFS($B$2:$B$1001,N59, $C$2:$C$1001, 1, $D$2:$D$1001, 0,$E$2:E$1001,3)</f>
        <v>3</v>
      </c>
      <c r="S59" s="5">
        <f t="shared" si="16"/>
        <v>0.7</v>
      </c>
      <c r="T59" s="5">
        <f t="shared" si="17"/>
        <v>0.5</v>
      </c>
    </row>
    <row r="60" spans="1:20" x14ac:dyDescent="0.2">
      <c r="A60" t="s">
        <v>73</v>
      </c>
      <c r="B60" t="s">
        <v>10</v>
      </c>
      <c r="C60">
        <v>1</v>
      </c>
      <c r="D60">
        <v>0</v>
      </c>
      <c r="E60">
        <v>4</v>
      </c>
      <c r="I60" t="s">
        <v>1030</v>
      </c>
      <c r="J60" s="5">
        <f>(J56+K57)/J59</f>
        <v>0.505</v>
      </c>
      <c r="N60" t="str">
        <v>Tai Chi</v>
      </c>
      <c r="O60">
        <f>COUNTIFS($B$2:$B$1001,N60, $C$2:$C$1001, 1, $D$2:$D$1001, 1,$E$2:E$1001,3)</f>
        <v>7</v>
      </c>
      <c r="P60">
        <f>COUNTIFS($B$2:$B$1001,N60, $C$2:$C$1001, 0, $D$2:$D$1001, 1,$E$2:E$1001,3)</f>
        <v>6</v>
      </c>
      <c r="Q60">
        <f>COUNTIFS($B$2:$B$1001,N60, $C$2:$C$1001, 0, $D$2:$D$1001, 0,$E$2:E$1001,3)</f>
        <v>4</v>
      </c>
      <c r="R60">
        <f>COUNTIFS($B$2:$B$1001,N60, $C$2:$C$1001, 1, $D$2:$D$1001, 0,$E$2:E$1001,3)</f>
        <v>3</v>
      </c>
      <c r="S60" s="5">
        <f t="shared" si="16"/>
        <v>0.7</v>
      </c>
      <c r="T60" s="5">
        <f t="shared" si="17"/>
        <v>0.4</v>
      </c>
    </row>
    <row r="61" spans="1:20" x14ac:dyDescent="0.2">
      <c r="A61" t="s">
        <v>74</v>
      </c>
      <c r="B61" t="s">
        <v>14</v>
      </c>
      <c r="C61">
        <v>1</v>
      </c>
      <c r="D61">
        <v>1</v>
      </c>
      <c r="E61">
        <v>3</v>
      </c>
      <c r="N61" t="str">
        <v>Punch</v>
      </c>
      <c r="O61">
        <f>COUNTIFS($B$2:$B$1001,N61, $C$2:$C$1001, 1, $D$2:$D$1001, 1,$E$2:E$1001,3)</f>
        <v>6</v>
      </c>
      <c r="P61">
        <f>COUNTIFS($B$2:$B$1001,N61, $C$2:$C$1001, 0, $D$2:$D$1001, 1,$E$2:E$1001,3)</f>
        <v>6</v>
      </c>
      <c r="Q61">
        <f>COUNTIFS($B$2:$B$1001,N61, $C$2:$C$1001, 0, $D$2:$D$1001, 0,$E$2:E$1001,3)</f>
        <v>4</v>
      </c>
      <c r="R61">
        <f>COUNTIFS($B$2:$B$1001,N61, $C$2:$C$1001, 1, $D$2:$D$1001, 0,$E$2:E$1001,3)</f>
        <v>4</v>
      </c>
      <c r="S61" s="5">
        <f t="shared" si="16"/>
        <v>0.6</v>
      </c>
      <c r="T61" s="5">
        <f t="shared" si="17"/>
        <v>0.4</v>
      </c>
    </row>
    <row r="62" spans="1:20" x14ac:dyDescent="0.2">
      <c r="A62" t="s">
        <v>75</v>
      </c>
      <c r="B62" t="s">
        <v>16</v>
      </c>
      <c r="C62">
        <v>1</v>
      </c>
      <c r="D62">
        <v>1</v>
      </c>
      <c r="E62">
        <v>1</v>
      </c>
      <c r="I62" t="s">
        <v>1031</v>
      </c>
      <c r="J62">
        <f>J56/(J56+J57)</f>
        <v>0.50602409638554213</v>
      </c>
      <c r="N62" t="str">
        <v>Military Parade</v>
      </c>
      <c r="O62">
        <f>COUNTIFS($B$2:$B$1001,N62, $C$2:$C$1001, 1, $D$2:$D$1001, 1,$E$2:E$1001,3)</f>
        <v>8</v>
      </c>
      <c r="P62">
        <f>COUNTIFS($B$2:$B$1001,N62, $C$2:$C$1001, 0, $D$2:$D$1001, 1,$E$2:E$1001,3)</f>
        <v>3</v>
      </c>
      <c r="Q62">
        <f>COUNTIFS($B$2:$B$1001,N62, $C$2:$C$1001, 0, $D$2:$D$1001, 0,$E$2:E$1001,3)</f>
        <v>7</v>
      </c>
      <c r="R62">
        <f>COUNTIFS($B$2:$B$1001,N62, $C$2:$C$1001, 1, $D$2:$D$1001, 0,$E$2:E$1001,3)</f>
        <v>2</v>
      </c>
      <c r="S62" s="5">
        <f t="shared" si="16"/>
        <v>0.8</v>
      </c>
      <c r="T62" s="5">
        <f t="shared" si="17"/>
        <v>0.7</v>
      </c>
    </row>
    <row r="63" spans="1:20" x14ac:dyDescent="0.2">
      <c r="A63" t="s">
        <v>76</v>
      </c>
      <c r="B63" t="s">
        <v>6</v>
      </c>
      <c r="C63">
        <v>0</v>
      </c>
      <c r="D63">
        <v>1</v>
      </c>
      <c r="E63">
        <v>3</v>
      </c>
      <c r="I63" t="s">
        <v>1032</v>
      </c>
      <c r="J63">
        <f>(J56/(J56+K56))</f>
        <v>0.42</v>
      </c>
      <c r="N63" t="str">
        <v>Salsa Spin</v>
      </c>
      <c r="O63">
        <f>COUNTIFS($B$2:$B$1001,N63, $C$2:$C$1001, 1, $D$2:$D$1001, 1,$E$2:E$1001,3)</f>
        <v>6</v>
      </c>
      <c r="P63">
        <f>COUNTIFS($B$2:$B$1001,N63, $C$2:$C$1001, 0, $D$2:$D$1001, 1,$E$2:E$1001,3)</f>
        <v>5</v>
      </c>
      <c r="Q63">
        <f>COUNTIFS($B$2:$B$1001,N63, $C$2:$C$1001, 0, $D$2:$D$1001, 0,$E$2:E$1001,3)</f>
        <v>5</v>
      </c>
      <c r="R63">
        <f>COUNTIFS($B$2:$B$1001,N63, $C$2:$C$1001, 1, $D$2:$D$1001, 0,$E$2:E$1001,3)</f>
        <v>4</v>
      </c>
      <c r="S63" s="5">
        <f>O63/(R63+O63)</f>
        <v>0.6</v>
      </c>
      <c r="T63" s="5">
        <f>Q63/(Q63+P63)</f>
        <v>0.5</v>
      </c>
    </row>
    <row r="64" spans="1:20" x14ac:dyDescent="0.2">
      <c r="A64" t="s">
        <v>77</v>
      </c>
      <c r="B64" t="s">
        <v>16</v>
      </c>
      <c r="C64">
        <v>0</v>
      </c>
      <c r="D64">
        <v>0</v>
      </c>
      <c r="E64">
        <v>1</v>
      </c>
      <c r="I64" t="s">
        <v>1033</v>
      </c>
      <c r="J64">
        <f>2*(J62*J63/(J62+J63))</f>
        <v>0.45901639344262291</v>
      </c>
      <c r="N64" t="str">
        <v>Diving</v>
      </c>
      <c r="O64">
        <f>COUNTIFS($B$2:$B$1001,N64, $C$2:$C$1001, 1, $D$2:$D$1001, 1,$E$2:E$1001,3)</f>
        <v>4</v>
      </c>
      <c r="P64">
        <f>COUNTIFS($B$2:$B$1001,N64, $C$2:$C$1001, 0, $D$2:$D$1001, 1,$E$2:E$1001,3)</f>
        <v>6</v>
      </c>
      <c r="Q64">
        <f>COUNTIFS($B$2:$B$1001,N64, $C$2:$C$1001, 0, $D$2:$D$1001, 0,$E$2:E$1001,3)</f>
        <v>4</v>
      </c>
      <c r="R64">
        <f>COUNTIFS($B$2:$B$1001,N64, $C$2:$C$1001, 1, $D$2:$D$1001, 0,$E$2:E$1001,3)</f>
        <v>6</v>
      </c>
      <c r="S64" s="5">
        <f t="shared" ref="S64:S66" si="18">O64/(R64+O64)</f>
        <v>0.4</v>
      </c>
      <c r="T64" s="5">
        <f t="shared" ref="T64:T66" si="19">Q64/(Q64+P64)</f>
        <v>0.4</v>
      </c>
    </row>
    <row r="65" spans="1:20" x14ac:dyDescent="0.2">
      <c r="A65" t="s">
        <v>78</v>
      </c>
      <c r="B65" t="s">
        <v>10</v>
      </c>
      <c r="C65">
        <v>1</v>
      </c>
      <c r="D65">
        <v>0</v>
      </c>
      <c r="E65">
        <v>1</v>
      </c>
      <c r="N65" t="str">
        <v>Walking With Dog</v>
      </c>
      <c r="O65">
        <f>COUNTIFS($B$2:$B$1001,N65, $C$2:$C$1001, 1, $D$2:$D$1001, 1,$E$2:E$1001,3)</f>
        <v>5</v>
      </c>
      <c r="P65">
        <f>COUNTIFS($B$2:$B$1001,N65, $C$2:$C$1001, 0, $D$2:$D$1001, 1,$E$2:E$1001,3)</f>
        <v>7</v>
      </c>
      <c r="Q65">
        <f>COUNTIFS($B$2:$B$1001,N65, $C$2:$C$1001, 0, $D$2:$D$1001, 0,$E$2:E$1001,3)</f>
        <v>3</v>
      </c>
      <c r="R65">
        <f>COUNTIFS($B$2:$B$1001,N65, $C$2:$C$1001, 1, $D$2:$D$1001, 0,$E$2:E$1001,3)</f>
        <v>5</v>
      </c>
      <c r="S65" s="5">
        <f t="shared" si="18"/>
        <v>0.5</v>
      </c>
      <c r="T65" s="5">
        <f t="shared" si="19"/>
        <v>0.3</v>
      </c>
    </row>
    <row r="66" spans="1:20" x14ac:dyDescent="0.2">
      <c r="A66" t="s">
        <v>79</v>
      </c>
      <c r="B66" t="s">
        <v>6</v>
      </c>
      <c r="C66">
        <v>1</v>
      </c>
      <c r="D66">
        <v>0</v>
      </c>
      <c r="E66">
        <v>1</v>
      </c>
      <c r="I66" t="s">
        <v>1034</v>
      </c>
      <c r="J66">
        <f>K57/(K57+K56)</f>
        <v>0.50427350427350426</v>
      </c>
      <c r="N66" t="str">
        <v>Horse Riding</v>
      </c>
      <c r="O66">
        <f>COUNTIFS($B$2:$B$1001,N66, $C$2:$C$1001, 1, $D$2:$D$1001, 1,$E$2:E$1001,3)</f>
        <v>6</v>
      </c>
      <c r="P66">
        <f>COUNTIFS($B$2:$B$1001,N66, $C$2:$C$1001, 0, $D$2:$D$1001, 1,$E$2:E$1001,3)</f>
        <v>8</v>
      </c>
      <c r="Q66">
        <f>COUNTIFS($B$2:$B$1001,N66, $C$2:$C$1001, 0, $D$2:$D$1001, 0,$E$2:E$1001,3)</f>
        <v>2</v>
      </c>
      <c r="R66">
        <f>COUNTIFS($B$2:$B$1001,N66, $C$2:$C$1001, 1, $D$2:$D$1001, 0,$E$2:E$1001,3)</f>
        <v>4</v>
      </c>
      <c r="S66" s="5">
        <f t="shared" si="18"/>
        <v>0.6</v>
      </c>
      <c r="T66" s="5">
        <f t="shared" si="19"/>
        <v>0.2</v>
      </c>
    </row>
    <row r="67" spans="1:20" x14ac:dyDescent="0.2">
      <c r="A67" t="s">
        <v>80</v>
      </c>
      <c r="B67" t="s">
        <v>6</v>
      </c>
      <c r="C67">
        <v>1</v>
      </c>
      <c r="D67">
        <v>1</v>
      </c>
      <c r="E67">
        <v>1</v>
      </c>
      <c r="I67" t="s">
        <v>1035</v>
      </c>
      <c r="J67">
        <f>K57/(K57+J57)</f>
        <v>0.59</v>
      </c>
      <c r="N67" t="str">
        <v>iÃà¬ª¬øSalsa Spin</v>
      </c>
    </row>
    <row r="68" spans="1:20" x14ac:dyDescent="0.2">
      <c r="A68" t="s">
        <v>81</v>
      </c>
      <c r="B68" t="s">
        <v>12</v>
      </c>
      <c r="C68">
        <v>0</v>
      </c>
      <c r="D68">
        <v>1</v>
      </c>
      <c r="E68">
        <v>1</v>
      </c>
      <c r="I68" t="s">
        <v>1036</v>
      </c>
      <c r="J68">
        <f>2*(J66*J67/(J66+J67))</f>
        <v>0.54377880184331795</v>
      </c>
    </row>
    <row r="69" spans="1:20" x14ac:dyDescent="0.2">
      <c r="A69" t="s">
        <v>82</v>
      </c>
      <c r="B69" t="s">
        <v>16</v>
      </c>
      <c r="C69">
        <v>0</v>
      </c>
      <c r="D69">
        <v>0</v>
      </c>
      <c r="E69">
        <v>1</v>
      </c>
    </row>
    <row r="70" spans="1:20" x14ac:dyDescent="0.2">
      <c r="A70" t="s">
        <v>83</v>
      </c>
      <c r="B70" t="s">
        <v>8</v>
      </c>
      <c r="C70">
        <v>0</v>
      </c>
      <c r="D70">
        <v>1</v>
      </c>
      <c r="E70">
        <v>4</v>
      </c>
      <c r="I70" s="2">
        <v>4</v>
      </c>
      <c r="J70" s="2"/>
      <c r="K70" s="2"/>
      <c r="N70" s="2">
        <v>4</v>
      </c>
      <c r="O70" s="2"/>
      <c r="P70" s="2"/>
      <c r="Q70" s="2"/>
      <c r="R70" s="2"/>
      <c r="S70" s="2"/>
      <c r="T70" s="2"/>
    </row>
    <row r="71" spans="1:20" ht="21" x14ac:dyDescent="0.25">
      <c r="A71" t="s">
        <v>84</v>
      </c>
      <c r="B71" t="s">
        <v>14</v>
      </c>
      <c r="C71">
        <v>0</v>
      </c>
      <c r="D71">
        <v>1</v>
      </c>
      <c r="E71">
        <v>1</v>
      </c>
      <c r="I71" s="3" t="s">
        <v>1017</v>
      </c>
      <c r="J71" s="3"/>
      <c r="K71" s="3"/>
      <c r="O71" s="3" t="s">
        <v>1018</v>
      </c>
      <c r="P71" s="3"/>
    </row>
    <row r="72" spans="1:20" x14ac:dyDescent="0.2">
      <c r="A72" t="s">
        <v>85</v>
      </c>
      <c r="B72" t="s">
        <v>38</v>
      </c>
      <c r="C72">
        <v>1</v>
      </c>
      <c r="D72">
        <v>1</v>
      </c>
      <c r="E72">
        <v>2</v>
      </c>
      <c r="J72" t="s">
        <v>1019</v>
      </c>
      <c r="K72" t="s">
        <v>1020</v>
      </c>
    </row>
    <row r="73" spans="1:20" ht="19" x14ac:dyDescent="0.25">
      <c r="A73" t="s">
        <v>86</v>
      </c>
      <c r="B73" t="s">
        <v>12</v>
      </c>
      <c r="C73">
        <v>1</v>
      </c>
      <c r="D73">
        <v>0</v>
      </c>
      <c r="E73">
        <v>2</v>
      </c>
      <c r="I73" t="s">
        <v>1021</v>
      </c>
      <c r="J73">
        <f>COUNTIFS(C$2:C$1001, 0, D$2:D$1001, 0, E$2:E$1001, 4)</f>
        <v>52</v>
      </c>
      <c r="K73">
        <f>COUNTIFS(C$2:C$1001, 0, D$2:D$1001, 1,E$2:E$1001,4)</f>
        <v>48</v>
      </c>
      <c r="N73" s="4" t="str" cm="1">
        <f t="array" ref="N73:N84">_xlfn.UNIQUE(B$1:B$1001)</f>
        <v>Category</v>
      </c>
      <c r="O73" s="1" t="s">
        <v>1022</v>
      </c>
      <c r="P73" s="1" t="s">
        <v>1023</v>
      </c>
      <c r="Q73" s="1" t="s">
        <v>1024</v>
      </c>
      <c r="R73" s="1" t="s">
        <v>1025</v>
      </c>
      <c r="S73" s="1" t="s">
        <v>1026</v>
      </c>
      <c r="T73" s="1" t="s">
        <v>1027</v>
      </c>
    </row>
    <row r="74" spans="1:20" x14ac:dyDescent="0.2">
      <c r="A74" t="s">
        <v>87</v>
      </c>
      <c r="B74" t="s">
        <v>8</v>
      </c>
      <c r="C74">
        <v>1</v>
      </c>
      <c r="D74">
        <v>1</v>
      </c>
      <c r="E74">
        <v>2</v>
      </c>
      <c r="I74" t="s">
        <v>1028</v>
      </c>
      <c r="J74">
        <f>COUNTIFS(C$2:C$1001, 1, D$2:D$1001, 0,E$2:E$1001,4)</f>
        <v>41</v>
      </c>
      <c r="K74">
        <f>COUNTIFS(C$2:C$1001, 1, D$2:D$1001, 1,E$2:E$1001,4)</f>
        <v>59</v>
      </c>
      <c r="N74" t="str">
        <v>Fencing</v>
      </c>
      <c r="O74">
        <f>COUNTIFS($B$2:$B$1001,N74, $C$2:$C$1001, 1, $D$2:$D$1001, 1,$E$2:E$1001,4)</f>
        <v>8</v>
      </c>
      <c r="P74">
        <f>COUNTIFS($B$2:$B$1001,N74, $C$2:$C$1001, 0, $D$2:$D$1001, 1,$E$2:E$1001,4)</f>
        <v>7</v>
      </c>
      <c r="Q74">
        <f>COUNTIFS($B$2:$B$1001,N74, $C$2:$C$1001, 0, $D$2:$D$1001, 0,$E$2:E$1001,4)</f>
        <v>3</v>
      </c>
      <c r="R74">
        <f>COUNTIFS($B$2:$B$1001,N74, $C$2:$C$1001, 1, $D$2:$D$1001, 0,$E$2:E$1001,4)</f>
        <v>2</v>
      </c>
      <c r="S74" s="5">
        <f>O74/(R74+O74)</f>
        <v>0.8</v>
      </c>
      <c r="T74" s="5">
        <f>Q74/(Q74+P74)</f>
        <v>0.3</v>
      </c>
    </row>
    <row r="75" spans="1:20" x14ac:dyDescent="0.2">
      <c r="A75" t="s">
        <v>88</v>
      </c>
      <c r="B75" t="s">
        <v>38</v>
      </c>
      <c r="C75">
        <v>1</v>
      </c>
      <c r="D75">
        <v>0</v>
      </c>
      <c r="E75">
        <v>4</v>
      </c>
      <c r="N75" t="str">
        <v>Cutting in Kitchen</v>
      </c>
      <c r="O75">
        <f>COUNTIFS($B$2:$B$1001,N75, $C$2:$C$1001, 1, $D$2:$D$1001, 1,$E$2:E$1001,4)</f>
        <v>7</v>
      </c>
      <c r="P75">
        <f>COUNTIFS($B$2:$B$1001,N75, $C$2:$C$1001, 0, $D$2:$D$1001, 1,$E$2:E$1001,4)</f>
        <v>6</v>
      </c>
      <c r="Q75">
        <f>COUNTIFS($B$2:$B$1001,N75, $C$2:$C$1001, 0, $D$2:$D$1001, 0,$E$2:E$1001,4)</f>
        <v>4</v>
      </c>
      <c r="R75">
        <f>COUNTIFS($B$2:$B$1001,N75, $C$2:$C$1001, 1, $D$2:$D$1001, 0,$E$2:E$1001,4)</f>
        <v>3</v>
      </c>
      <c r="S75" s="5">
        <f t="shared" ref="S75:S79" si="20">O75/(R75+O75)</f>
        <v>0.7</v>
      </c>
      <c r="T75" s="5">
        <f t="shared" ref="T75:T79" si="21">Q75/(Q75+P75)</f>
        <v>0.4</v>
      </c>
    </row>
    <row r="76" spans="1:20" x14ac:dyDescent="0.2">
      <c r="A76" t="s">
        <v>89</v>
      </c>
      <c r="B76" t="s">
        <v>33</v>
      </c>
      <c r="C76">
        <v>0</v>
      </c>
      <c r="D76">
        <v>1</v>
      </c>
      <c r="E76">
        <v>1</v>
      </c>
      <c r="I76" t="s">
        <v>1029</v>
      </c>
      <c r="J76">
        <f>SUM(J73:K74)</f>
        <v>200</v>
      </c>
      <c r="N76" t="str">
        <v>Throw Discuss</v>
      </c>
      <c r="O76">
        <f>COUNTIFS($B$2:$B$1001,N76, $C$2:$C$1001, 1, $D$2:$D$1001, 1,$E$2:E$1001,4)</f>
        <v>5</v>
      </c>
      <c r="P76">
        <f>COUNTIFS($B$2:$B$1001,N76, $C$2:$C$1001, 0, $D$2:$D$1001, 1,$E$2:E$1001,4)</f>
        <v>4</v>
      </c>
      <c r="Q76">
        <f>COUNTIFS($B$2:$B$1001,N76, $C$2:$C$1001, 0, $D$2:$D$1001, 0,$E$2:E$1001,4)</f>
        <v>6</v>
      </c>
      <c r="R76">
        <f>COUNTIFS($B$2:$B$1001,N76, $C$2:$C$1001, 1, $D$2:$D$1001, 0,$E$2:E$1001,4)</f>
        <v>5</v>
      </c>
      <c r="S76" s="5">
        <f t="shared" si="20"/>
        <v>0.5</v>
      </c>
      <c r="T76" s="5">
        <f t="shared" si="21"/>
        <v>0.6</v>
      </c>
    </row>
    <row r="77" spans="1:20" x14ac:dyDescent="0.2">
      <c r="A77" t="s">
        <v>90</v>
      </c>
      <c r="B77" t="s">
        <v>33</v>
      </c>
      <c r="C77">
        <v>1</v>
      </c>
      <c r="D77">
        <v>1</v>
      </c>
      <c r="E77">
        <v>5</v>
      </c>
      <c r="I77" t="s">
        <v>1030</v>
      </c>
      <c r="J77" s="5">
        <f>(J73+K74)/J76</f>
        <v>0.55500000000000005</v>
      </c>
      <c r="N77" t="str">
        <v>Tai Chi</v>
      </c>
      <c r="O77">
        <f>COUNTIFS($B$2:$B$1001,N77, $C$2:$C$1001, 1, $D$2:$D$1001, 1,$E$2:E$1001,4)</f>
        <v>6</v>
      </c>
      <c r="P77">
        <f>COUNTIFS($B$2:$B$1001,N77, $C$2:$C$1001, 0, $D$2:$D$1001, 1,$E$2:E$1001,4)</f>
        <v>6</v>
      </c>
      <c r="Q77">
        <f>COUNTIFS($B$2:$B$1001,N77, $C$2:$C$1001, 0, $D$2:$D$1001, 0,$E$2:E$1001,4)</f>
        <v>4</v>
      </c>
      <c r="R77">
        <f>COUNTIFS($B$2:$B$1001,N77, $C$2:$C$1001, 1, $D$2:$D$1001, 0,$E$2:E$1001,4)</f>
        <v>4</v>
      </c>
      <c r="S77" s="5">
        <f t="shared" si="20"/>
        <v>0.6</v>
      </c>
      <c r="T77" s="5">
        <f t="shared" si="21"/>
        <v>0.4</v>
      </c>
    </row>
    <row r="78" spans="1:20" x14ac:dyDescent="0.2">
      <c r="A78" t="s">
        <v>91</v>
      </c>
      <c r="B78" t="s">
        <v>6</v>
      </c>
      <c r="C78">
        <v>1</v>
      </c>
      <c r="D78">
        <v>1</v>
      </c>
      <c r="E78">
        <v>2</v>
      </c>
      <c r="N78" t="str">
        <v>Punch</v>
      </c>
      <c r="O78">
        <f>COUNTIFS($B$2:$B$1001,N78, $C$2:$C$1001, 1, $D$2:$D$1001, 1,$E$2:E$1001,4)</f>
        <v>7</v>
      </c>
      <c r="P78">
        <f>COUNTIFS($B$2:$B$1001,N78, $C$2:$C$1001, 0, $D$2:$D$1001, 1,$E$2:E$1001,4)</f>
        <v>4</v>
      </c>
      <c r="Q78">
        <f>COUNTIFS($B$2:$B$1001,N78, $C$2:$C$1001, 0, $D$2:$D$1001, 0,$E$2:E$1001,4)</f>
        <v>6</v>
      </c>
      <c r="R78">
        <f>COUNTIFS($B$2:$B$1001,N78, $C$2:$C$1001, 1, $D$2:$D$1001, 0,$E$2:E$1001,4)</f>
        <v>3</v>
      </c>
      <c r="S78" s="5">
        <f t="shared" si="20"/>
        <v>0.7</v>
      </c>
      <c r="T78" s="5">
        <f t="shared" si="21"/>
        <v>0.6</v>
      </c>
    </row>
    <row r="79" spans="1:20" x14ac:dyDescent="0.2">
      <c r="A79" t="s">
        <v>92</v>
      </c>
      <c r="B79" t="s">
        <v>12</v>
      </c>
      <c r="C79">
        <v>1</v>
      </c>
      <c r="D79">
        <v>1</v>
      </c>
      <c r="E79">
        <v>5</v>
      </c>
      <c r="I79" t="s">
        <v>1031</v>
      </c>
      <c r="J79">
        <f>J73/(J73+J74)</f>
        <v>0.55913978494623651</v>
      </c>
      <c r="N79" t="str">
        <v>Military Parade</v>
      </c>
      <c r="O79">
        <f>COUNTIFS($B$2:$B$1001,N79, $C$2:$C$1001, 1, $D$2:$D$1001, 1,$E$2:E$1001,4)</f>
        <v>4</v>
      </c>
      <c r="P79">
        <f>COUNTIFS($B$2:$B$1001,N79, $C$2:$C$1001, 0, $D$2:$D$1001, 1,$E$2:E$1001,4)</f>
        <v>3</v>
      </c>
      <c r="Q79">
        <f>COUNTIFS($B$2:$B$1001,N79, $C$2:$C$1001, 0, $D$2:$D$1001, 0,$E$2:E$1001,4)</f>
        <v>7</v>
      </c>
      <c r="R79">
        <f>COUNTIFS($B$2:$B$1001,N79, $C$2:$C$1001, 1, $D$2:$D$1001, 0,$E$2:E$1001,4)</f>
        <v>6</v>
      </c>
      <c r="S79" s="5">
        <f t="shared" si="20"/>
        <v>0.4</v>
      </c>
      <c r="T79" s="5">
        <f t="shared" si="21"/>
        <v>0.7</v>
      </c>
    </row>
    <row r="80" spans="1:20" x14ac:dyDescent="0.2">
      <c r="A80" t="s">
        <v>93</v>
      </c>
      <c r="B80" t="s">
        <v>33</v>
      </c>
      <c r="C80">
        <v>1</v>
      </c>
      <c r="D80">
        <v>0</v>
      </c>
      <c r="E80">
        <v>1</v>
      </c>
      <c r="I80" t="s">
        <v>1032</v>
      </c>
      <c r="J80">
        <f>(J73/(J73+K73))</f>
        <v>0.52</v>
      </c>
      <c r="N80" t="str">
        <v>Salsa Spin</v>
      </c>
      <c r="O80">
        <f>COUNTIFS($B$2:$B$1001,N80, $C$2:$C$1001, 1, $D$2:$D$1001, 1,$E$2:E$1001,4)</f>
        <v>6</v>
      </c>
      <c r="P80">
        <f>COUNTIFS($B$2:$B$1001,N80, $C$2:$C$1001, 0, $D$2:$D$1001, 1,$E$2:E$1001,4)</f>
        <v>4</v>
      </c>
      <c r="Q80">
        <f>COUNTIFS($B$2:$B$1001,N80, $C$2:$C$1001, 0, $D$2:$D$1001, 0,$E$2:E$1001,4)</f>
        <v>6</v>
      </c>
      <c r="R80">
        <f>COUNTIFS($B$2:$B$1001,N80, $C$2:$C$1001, 1, $D$2:$D$1001, 0,$E$2:E$1001,4)</f>
        <v>4</v>
      </c>
      <c r="S80" s="5">
        <f>O80/(R80+O80)</f>
        <v>0.6</v>
      </c>
      <c r="T80" s="5">
        <f>Q80/(Q80+P80)</f>
        <v>0.6</v>
      </c>
    </row>
    <row r="81" spans="1:20" x14ac:dyDescent="0.2">
      <c r="A81" t="s">
        <v>94</v>
      </c>
      <c r="B81" t="s">
        <v>8</v>
      </c>
      <c r="C81">
        <v>0</v>
      </c>
      <c r="D81">
        <v>1</v>
      </c>
      <c r="E81">
        <v>1</v>
      </c>
      <c r="I81" t="s">
        <v>1033</v>
      </c>
      <c r="J81">
        <f>2*(J79*J80/(J79+J80))</f>
        <v>0.53886010362694292</v>
      </c>
      <c r="N81" t="str">
        <v>Diving</v>
      </c>
      <c r="O81">
        <f>COUNTIFS($B$2:$B$1001,N81, $C$2:$C$1001, 1, $D$2:$D$1001, 1,$E$2:E$1001,4)</f>
        <v>4</v>
      </c>
      <c r="P81">
        <f>COUNTIFS($B$2:$B$1001,N81, $C$2:$C$1001, 0, $D$2:$D$1001, 1,$E$2:E$1001,4)</f>
        <v>4</v>
      </c>
      <c r="Q81">
        <f>COUNTIFS($B$2:$B$1001,N81, $C$2:$C$1001, 0, $D$2:$D$1001, 0,$E$2:E$1001,4)</f>
        <v>6</v>
      </c>
      <c r="R81">
        <f>COUNTIFS($B$2:$B$1001,N81, $C$2:$C$1001, 1, $D$2:$D$1001, 0,$E$2:E$1001,4)</f>
        <v>6</v>
      </c>
      <c r="S81" s="5">
        <f t="shared" ref="S81:S83" si="22">O81/(R81+O81)</f>
        <v>0.4</v>
      </c>
      <c r="T81" s="5">
        <f t="shared" ref="T81:T83" si="23">Q81/(Q81+P81)</f>
        <v>0.6</v>
      </c>
    </row>
    <row r="82" spans="1:20" x14ac:dyDescent="0.2">
      <c r="A82" t="s">
        <v>95</v>
      </c>
      <c r="B82" t="s">
        <v>33</v>
      </c>
      <c r="C82">
        <v>1</v>
      </c>
      <c r="D82">
        <v>0</v>
      </c>
      <c r="E82">
        <v>3</v>
      </c>
      <c r="N82" t="str">
        <v>Walking With Dog</v>
      </c>
      <c r="O82">
        <f>COUNTIFS($B$2:$B$1001,N82, $C$2:$C$1001, 1, $D$2:$D$1001, 1,$E$2:E$1001,4)</f>
        <v>7</v>
      </c>
      <c r="P82">
        <f>COUNTIFS($B$2:$B$1001,N82, $C$2:$C$1001, 0, $D$2:$D$1001, 1,$E$2:E$1001,4)</f>
        <v>5</v>
      </c>
      <c r="Q82">
        <f>COUNTIFS($B$2:$B$1001,N82, $C$2:$C$1001, 0, $D$2:$D$1001, 0,$E$2:E$1001,4)</f>
        <v>5</v>
      </c>
      <c r="R82">
        <f>COUNTIFS($B$2:$B$1001,N82, $C$2:$C$1001, 1, $D$2:$D$1001, 0,$E$2:E$1001,4)</f>
        <v>3</v>
      </c>
      <c r="S82" s="5">
        <f t="shared" si="22"/>
        <v>0.7</v>
      </c>
      <c r="T82" s="5">
        <f t="shared" si="23"/>
        <v>0.5</v>
      </c>
    </row>
    <row r="83" spans="1:20" x14ac:dyDescent="0.2">
      <c r="A83" t="s">
        <v>96</v>
      </c>
      <c r="B83" t="s">
        <v>14</v>
      </c>
      <c r="C83">
        <v>1</v>
      </c>
      <c r="D83">
        <v>1</v>
      </c>
      <c r="E83">
        <v>5</v>
      </c>
      <c r="I83" t="s">
        <v>1034</v>
      </c>
      <c r="J83">
        <f>K74/(K74+K73)</f>
        <v>0.55140186915887845</v>
      </c>
      <c r="N83" t="str">
        <v>Horse Riding</v>
      </c>
      <c r="O83">
        <f>COUNTIFS($B$2:$B$1001,N83, $C$2:$C$1001, 1, $D$2:$D$1001, 1,$E$2:E$1001,4)</f>
        <v>5</v>
      </c>
      <c r="P83">
        <f>COUNTIFS($B$2:$B$1001,N83, $C$2:$C$1001, 0, $D$2:$D$1001, 1,$E$2:E$1001,4)</f>
        <v>5</v>
      </c>
      <c r="Q83">
        <f>COUNTIFS($B$2:$B$1001,N83, $C$2:$C$1001, 0, $D$2:$D$1001, 0,$E$2:E$1001,4)</f>
        <v>5</v>
      </c>
      <c r="R83">
        <f>COUNTIFS($B$2:$B$1001,N83, $C$2:$C$1001, 1, $D$2:$D$1001, 0,$E$2:E$1001,4)</f>
        <v>5</v>
      </c>
      <c r="S83" s="5">
        <f t="shared" si="22"/>
        <v>0.5</v>
      </c>
      <c r="T83" s="5">
        <f t="shared" si="23"/>
        <v>0.5</v>
      </c>
    </row>
    <row r="84" spans="1:20" x14ac:dyDescent="0.2">
      <c r="A84" t="s">
        <v>97</v>
      </c>
      <c r="B84" t="s">
        <v>16</v>
      </c>
      <c r="C84">
        <v>0</v>
      </c>
      <c r="D84">
        <v>0</v>
      </c>
      <c r="E84">
        <v>4</v>
      </c>
      <c r="I84" t="s">
        <v>1035</v>
      </c>
      <c r="J84">
        <f>K74/(K74+J74)</f>
        <v>0.59</v>
      </c>
      <c r="N84" t="str">
        <v>iÃà¬ª¬øSalsa Spin</v>
      </c>
    </row>
    <row r="85" spans="1:20" x14ac:dyDescent="0.2">
      <c r="A85" t="s">
        <v>98</v>
      </c>
      <c r="B85" t="s">
        <v>33</v>
      </c>
      <c r="C85">
        <v>1</v>
      </c>
      <c r="D85">
        <v>1</v>
      </c>
      <c r="E85">
        <v>1</v>
      </c>
      <c r="I85" t="s">
        <v>1036</v>
      </c>
      <c r="J85">
        <f>2*(J83*J84/(J83+J84))</f>
        <v>0.57004830917874394</v>
      </c>
    </row>
    <row r="86" spans="1:20" x14ac:dyDescent="0.2">
      <c r="A86" t="s">
        <v>99</v>
      </c>
      <c r="B86" t="s">
        <v>6</v>
      </c>
      <c r="C86">
        <v>0</v>
      </c>
      <c r="D86">
        <v>1</v>
      </c>
      <c r="E86">
        <v>4</v>
      </c>
    </row>
    <row r="87" spans="1:20" x14ac:dyDescent="0.2">
      <c r="A87" t="s">
        <v>100</v>
      </c>
      <c r="B87" t="s">
        <v>33</v>
      </c>
      <c r="C87">
        <v>1</v>
      </c>
      <c r="D87">
        <v>1</v>
      </c>
      <c r="E87">
        <v>5</v>
      </c>
      <c r="I87" s="2">
        <v>5</v>
      </c>
      <c r="J87" s="2"/>
      <c r="K87" s="2"/>
      <c r="N87" s="2">
        <v>5</v>
      </c>
      <c r="O87" s="2"/>
      <c r="P87" s="2"/>
      <c r="Q87" s="2"/>
      <c r="R87" s="2"/>
      <c r="S87" s="2"/>
      <c r="T87" s="2"/>
    </row>
    <row r="88" spans="1:20" ht="21" x14ac:dyDescent="0.25">
      <c r="A88" t="s">
        <v>101</v>
      </c>
      <c r="B88" t="s">
        <v>12</v>
      </c>
      <c r="C88">
        <v>1</v>
      </c>
      <c r="D88">
        <v>0</v>
      </c>
      <c r="E88">
        <v>3</v>
      </c>
      <c r="I88" s="3" t="s">
        <v>1017</v>
      </c>
      <c r="J88" s="3"/>
      <c r="K88" s="3"/>
      <c r="O88" s="3" t="s">
        <v>1018</v>
      </c>
      <c r="P88" s="3"/>
    </row>
    <row r="89" spans="1:20" x14ac:dyDescent="0.2">
      <c r="A89" t="s">
        <v>102</v>
      </c>
      <c r="B89" t="s">
        <v>14</v>
      </c>
      <c r="C89">
        <v>1</v>
      </c>
      <c r="D89">
        <v>1</v>
      </c>
      <c r="E89">
        <v>4</v>
      </c>
      <c r="J89" t="s">
        <v>1019</v>
      </c>
      <c r="K89" t="s">
        <v>1020</v>
      </c>
    </row>
    <row r="90" spans="1:20" ht="19" x14ac:dyDescent="0.25">
      <c r="A90" t="s">
        <v>103</v>
      </c>
      <c r="B90" t="s">
        <v>38</v>
      </c>
      <c r="C90">
        <v>0</v>
      </c>
      <c r="D90">
        <v>1</v>
      </c>
      <c r="E90">
        <v>2</v>
      </c>
      <c r="I90" t="s">
        <v>1021</v>
      </c>
      <c r="J90">
        <f>COUNTIFS(C$2:C$1001, 0, D$2:D$1001, 0, E$2:E$1001, 5)</f>
        <v>49</v>
      </c>
      <c r="K90">
        <f>COUNTIFS(C$2:C$1001, 0, D$2:D$1001, 1,E$2:E$1001,5)</f>
        <v>51</v>
      </c>
      <c r="N90" s="4" t="str" cm="1">
        <f t="array" ref="N90:N101">_xlfn.UNIQUE(B$1:B$1001)</f>
        <v>Category</v>
      </c>
      <c r="O90" s="1" t="s">
        <v>1022</v>
      </c>
      <c r="P90" s="1" t="s">
        <v>1023</v>
      </c>
      <c r="Q90" s="1" t="s">
        <v>1024</v>
      </c>
      <c r="R90" s="1" t="s">
        <v>1025</v>
      </c>
      <c r="S90" s="1" t="s">
        <v>1026</v>
      </c>
      <c r="T90" s="1" t="s">
        <v>1027</v>
      </c>
    </row>
    <row r="91" spans="1:20" x14ac:dyDescent="0.2">
      <c r="A91" t="s">
        <v>104</v>
      </c>
      <c r="B91" t="s">
        <v>21</v>
      </c>
      <c r="C91">
        <v>0</v>
      </c>
      <c r="D91">
        <v>0</v>
      </c>
      <c r="E91">
        <v>4</v>
      </c>
      <c r="I91" t="s">
        <v>1028</v>
      </c>
      <c r="J91">
        <f>COUNTIFS(C$2:C$1001, 1, D$2:D$1001, 0,E$2:E$1001,5)</f>
        <v>32</v>
      </c>
      <c r="K91">
        <f>COUNTIFS(C$2:C$1001, 1, D$2:D$1001, 1,E$2:E$1001,5)</f>
        <v>68</v>
      </c>
      <c r="N91" t="str">
        <v>Fencing</v>
      </c>
      <c r="O91">
        <f>COUNTIFS($B$2:$B$1001,N91, $C$2:$C$1001, 1, $D$2:$D$1001, 1,$E$2:E$1001,5)</f>
        <v>6</v>
      </c>
      <c r="P91">
        <f>COUNTIFS($B$2:$B$1001,N91, $C$2:$C$1001, 0, $D$2:$D$1001, 1,$E$2:E$1001,5)</f>
        <v>2</v>
      </c>
      <c r="Q91">
        <f>COUNTIFS($B$2:$B$1001,N91, $C$2:$C$1001, 0, $D$2:$D$1001, 0,$E$2:E$1001,5)</f>
        <v>8</v>
      </c>
      <c r="R91">
        <f>COUNTIFS($B$2:$B$1001,N91, $C$2:$C$1001, 1, $D$2:$D$1001, 0,$E$2:E$1001,5)</f>
        <v>4</v>
      </c>
      <c r="S91" s="5">
        <f>O91/(R91+O91)</f>
        <v>0.6</v>
      </c>
      <c r="T91" s="5">
        <f>Q91/(Q91+P91)</f>
        <v>0.8</v>
      </c>
    </row>
    <row r="92" spans="1:20" x14ac:dyDescent="0.2">
      <c r="A92" t="s">
        <v>105</v>
      </c>
      <c r="B92" t="s">
        <v>6</v>
      </c>
      <c r="C92">
        <v>1</v>
      </c>
      <c r="D92">
        <v>0</v>
      </c>
      <c r="E92">
        <v>5</v>
      </c>
      <c r="N92" t="str">
        <v>Cutting in Kitchen</v>
      </c>
      <c r="O92">
        <f>COUNTIFS($B$2:$B$1001,N92, $C$2:$C$1001, 1, $D$2:$D$1001, 1,$E$2:E$1001,5)</f>
        <v>6</v>
      </c>
      <c r="P92">
        <f>COUNTIFS($B$2:$B$1001,N92, $C$2:$C$1001, 0, $D$2:$D$1001, 1,$E$2:E$1001,5)</f>
        <v>5</v>
      </c>
      <c r="Q92">
        <f>COUNTIFS($B$2:$B$1001,N92, $C$2:$C$1001, 0, $D$2:$D$1001, 0,$E$2:E$1001,5)</f>
        <v>5</v>
      </c>
      <c r="R92">
        <f>COUNTIFS($B$2:$B$1001,N92, $C$2:$C$1001, 1, $D$2:$D$1001, 0,$E$2:E$1001,5)</f>
        <v>4</v>
      </c>
      <c r="S92" s="5">
        <f t="shared" ref="S92:S96" si="24">O92/(R92+O92)</f>
        <v>0.6</v>
      </c>
      <c r="T92" s="5">
        <f t="shared" ref="T92:T96" si="25">Q92/(Q92+P92)</f>
        <v>0.5</v>
      </c>
    </row>
    <row r="93" spans="1:20" x14ac:dyDescent="0.2">
      <c r="A93" t="s">
        <v>106</v>
      </c>
      <c r="B93" t="s">
        <v>6</v>
      </c>
      <c r="C93">
        <v>1</v>
      </c>
      <c r="D93">
        <v>0</v>
      </c>
      <c r="E93">
        <v>5</v>
      </c>
      <c r="I93" t="s">
        <v>1029</v>
      </c>
      <c r="J93">
        <f>SUM(J90:K91)</f>
        <v>200</v>
      </c>
      <c r="N93" t="str">
        <v>Throw Discuss</v>
      </c>
      <c r="O93">
        <f>COUNTIFS($B$2:$B$1001,N93, $C$2:$C$1001, 1, $D$2:$D$1001, 1,$E$2:E$1001,5)</f>
        <v>6</v>
      </c>
      <c r="P93">
        <f>COUNTIFS($B$2:$B$1001,N93, $C$2:$C$1001, 0, $D$2:$D$1001, 1,$E$2:E$1001,5)</f>
        <v>4</v>
      </c>
      <c r="Q93">
        <f>COUNTIFS($B$2:$B$1001,N93, $C$2:$C$1001, 0, $D$2:$D$1001, 0,$E$2:E$1001,5)</f>
        <v>6</v>
      </c>
      <c r="R93">
        <f>COUNTIFS($B$2:$B$1001,N93, $C$2:$C$1001, 1, $D$2:$D$1001, 0,$E$2:E$1001,5)</f>
        <v>4</v>
      </c>
      <c r="S93" s="5">
        <f t="shared" si="24"/>
        <v>0.6</v>
      </c>
      <c r="T93" s="5">
        <f t="shared" si="25"/>
        <v>0.6</v>
      </c>
    </row>
    <row r="94" spans="1:20" x14ac:dyDescent="0.2">
      <c r="A94" t="s">
        <v>107</v>
      </c>
      <c r="B94" t="s">
        <v>33</v>
      </c>
      <c r="C94">
        <v>1</v>
      </c>
      <c r="D94">
        <v>1</v>
      </c>
      <c r="E94">
        <v>1</v>
      </c>
      <c r="I94" t="s">
        <v>1030</v>
      </c>
      <c r="J94" s="5">
        <f>(J90+K91)/J93</f>
        <v>0.58499999999999996</v>
      </c>
      <c r="N94" t="str">
        <v>Tai Chi</v>
      </c>
      <c r="O94">
        <f>COUNTIFS($B$2:$B$1001,N94, $C$2:$C$1001, 1, $D$2:$D$1001, 1,$E$2:E$1001,5)</f>
        <v>7</v>
      </c>
      <c r="P94">
        <f>COUNTIFS($B$2:$B$1001,N94, $C$2:$C$1001, 0, $D$2:$D$1001, 1,$E$2:E$1001,5)</f>
        <v>8</v>
      </c>
      <c r="Q94">
        <f>COUNTIFS($B$2:$B$1001,N94, $C$2:$C$1001, 0, $D$2:$D$1001, 0,$E$2:E$1001,5)</f>
        <v>2</v>
      </c>
      <c r="R94">
        <f>COUNTIFS($B$2:$B$1001,N94, $C$2:$C$1001, 1, $D$2:$D$1001, 0,$E$2:E$1001,5)</f>
        <v>3</v>
      </c>
      <c r="S94" s="5">
        <f t="shared" si="24"/>
        <v>0.7</v>
      </c>
      <c r="T94" s="5">
        <f t="shared" si="25"/>
        <v>0.2</v>
      </c>
    </row>
    <row r="95" spans="1:20" x14ac:dyDescent="0.2">
      <c r="A95" t="s">
        <v>108</v>
      </c>
      <c r="B95" t="s">
        <v>14</v>
      </c>
      <c r="C95">
        <v>1</v>
      </c>
      <c r="D95">
        <v>1</v>
      </c>
      <c r="E95">
        <v>1</v>
      </c>
      <c r="N95" t="str">
        <v>Punch</v>
      </c>
      <c r="O95">
        <f>COUNTIFS($B$2:$B$1001,N95, $C$2:$C$1001, 1, $D$2:$D$1001, 1,$E$2:E$1001,5)</f>
        <v>8</v>
      </c>
      <c r="P95">
        <f>COUNTIFS($B$2:$B$1001,N95, $C$2:$C$1001, 0, $D$2:$D$1001, 1,$E$2:E$1001,5)</f>
        <v>5</v>
      </c>
      <c r="Q95">
        <f>COUNTIFS($B$2:$B$1001,N95, $C$2:$C$1001, 0, $D$2:$D$1001, 0,$E$2:E$1001,5)</f>
        <v>5</v>
      </c>
      <c r="R95">
        <f>COUNTIFS($B$2:$B$1001,N95, $C$2:$C$1001, 1, $D$2:$D$1001, 0,$E$2:E$1001,5)</f>
        <v>2</v>
      </c>
      <c r="S95" s="5">
        <f t="shared" si="24"/>
        <v>0.8</v>
      </c>
      <c r="T95" s="5">
        <f t="shared" si="25"/>
        <v>0.5</v>
      </c>
    </row>
    <row r="96" spans="1:20" x14ac:dyDescent="0.2">
      <c r="A96" t="s">
        <v>109</v>
      </c>
      <c r="B96" t="s">
        <v>16</v>
      </c>
      <c r="C96">
        <v>1</v>
      </c>
      <c r="D96">
        <v>1</v>
      </c>
      <c r="E96">
        <v>3</v>
      </c>
      <c r="I96" t="s">
        <v>1031</v>
      </c>
      <c r="J96">
        <f>J90/(J90+J91)</f>
        <v>0.60493827160493829</v>
      </c>
      <c r="N96" t="str">
        <v>Military Parade</v>
      </c>
      <c r="O96">
        <f>COUNTIFS($B$2:$B$1001,N96, $C$2:$C$1001, 1, $D$2:$D$1001, 1,$E$2:E$1001,5)</f>
        <v>5</v>
      </c>
      <c r="P96">
        <f>COUNTIFS($B$2:$B$1001,N96, $C$2:$C$1001, 0, $D$2:$D$1001, 1,$E$2:E$1001,5)</f>
        <v>3</v>
      </c>
      <c r="Q96">
        <f>COUNTIFS($B$2:$B$1001,N96, $C$2:$C$1001, 0, $D$2:$D$1001, 0,$E$2:E$1001,5)</f>
        <v>7</v>
      </c>
      <c r="R96">
        <f>COUNTIFS($B$2:$B$1001,N96, $C$2:$C$1001, 1, $D$2:$D$1001, 0,$E$2:E$1001,5)</f>
        <v>5</v>
      </c>
      <c r="S96" s="5">
        <f t="shared" si="24"/>
        <v>0.5</v>
      </c>
      <c r="T96" s="5">
        <f t="shared" si="25"/>
        <v>0.7</v>
      </c>
    </row>
    <row r="97" spans="1:20" x14ac:dyDescent="0.2">
      <c r="A97" t="s">
        <v>110</v>
      </c>
      <c r="B97" t="s">
        <v>14</v>
      </c>
      <c r="C97">
        <v>1</v>
      </c>
      <c r="D97">
        <v>1</v>
      </c>
      <c r="E97">
        <v>5</v>
      </c>
      <c r="I97" t="s">
        <v>1032</v>
      </c>
      <c r="J97">
        <f>(J90/(J90+K90))</f>
        <v>0.49</v>
      </c>
      <c r="N97" t="str">
        <v>Salsa Spin</v>
      </c>
      <c r="O97">
        <f>COUNTIFS($B$2:$B$1001,N97, $C$2:$C$1001, 1, $D$2:$D$1001, 1,$E$2:E$1001,5)</f>
        <v>6</v>
      </c>
      <c r="P97">
        <f>COUNTIFS($B$2:$B$1001,N97, $C$2:$C$1001, 0, $D$2:$D$1001, 1,$E$2:E$1001,5)</f>
        <v>5</v>
      </c>
      <c r="Q97">
        <f>COUNTIFS($B$2:$B$1001,N97, $C$2:$C$1001, 0, $D$2:$D$1001, 0,$E$2:E$1001,5)</f>
        <v>5</v>
      </c>
      <c r="R97">
        <f>COUNTIFS($B$2:$B$1001,N97, $C$2:$C$1001, 1, $D$2:$D$1001, 0,$E$2:E$1001,5)</f>
        <v>4</v>
      </c>
      <c r="S97" s="5">
        <f>O97/(R97+O97)</f>
        <v>0.6</v>
      </c>
      <c r="T97" s="5">
        <f>Q97/(Q97+P97)</f>
        <v>0.5</v>
      </c>
    </row>
    <row r="98" spans="1:20" x14ac:dyDescent="0.2">
      <c r="A98" t="s">
        <v>111</v>
      </c>
      <c r="B98" t="s">
        <v>33</v>
      </c>
      <c r="C98">
        <v>1</v>
      </c>
      <c r="D98">
        <v>1</v>
      </c>
      <c r="E98">
        <v>3</v>
      </c>
      <c r="I98" t="s">
        <v>1033</v>
      </c>
      <c r="J98">
        <f>2*(J96*J97/(J96+J97))</f>
        <v>0.54143646408839785</v>
      </c>
      <c r="N98" t="str">
        <v>Diving</v>
      </c>
      <c r="O98">
        <f>COUNTIFS($B$2:$B$1001,N98, $C$2:$C$1001, 1, $D$2:$D$1001, 1,$E$2:E$1001,5)</f>
        <v>8</v>
      </c>
      <c r="P98">
        <f>COUNTIFS($B$2:$B$1001,N98, $C$2:$C$1001, 0, $D$2:$D$1001, 1,$E$2:E$1001,5)</f>
        <v>6</v>
      </c>
      <c r="Q98">
        <f>COUNTIFS($B$2:$B$1001,N98, $C$2:$C$1001, 0, $D$2:$D$1001, 0,$E$2:E$1001,5)</f>
        <v>4</v>
      </c>
      <c r="R98">
        <f>COUNTIFS($B$2:$B$1001,N98, $C$2:$C$1001, 1, $D$2:$D$1001, 0,$E$2:E$1001,5)</f>
        <v>2</v>
      </c>
      <c r="S98" s="5">
        <f t="shared" ref="S98:S100" si="26">O98/(R98+O98)</f>
        <v>0.8</v>
      </c>
      <c r="T98" s="5">
        <f t="shared" ref="T98:T100" si="27">Q98/(Q98+P98)</f>
        <v>0.4</v>
      </c>
    </row>
    <row r="99" spans="1:20" x14ac:dyDescent="0.2">
      <c r="A99" t="s">
        <v>112</v>
      </c>
      <c r="B99" t="s">
        <v>21</v>
      </c>
      <c r="C99">
        <v>1</v>
      </c>
      <c r="D99">
        <v>0</v>
      </c>
      <c r="E99">
        <v>4</v>
      </c>
      <c r="N99" t="str">
        <v>Walking With Dog</v>
      </c>
      <c r="O99">
        <f>COUNTIFS($B$2:$B$1001,N99, $C$2:$C$1001, 1, $D$2:$D$1001, 1,$E$2:E$1001,5)</f>
        <v>7</v>
      </c>
      <c r="P99">
        <f>COUNTIFS($B$2:$B$1001,N99, $C$2:$C$1001, 0, $D$2:$D$1001, 1,$E$2:E$1001,5)</f>
        <v>5</v>
      </c>
      <c r="Q99">
        <f>COUNTIFS($B$2:$B$1001,N99, $C$2:$C$1001, 0, $D$2:$D$1001, 0,$E$2:E$1001,5)</f>
        <v>5</v>
      </c>
      <c r="R99">
        <f>COUNTIFS($B$2:$B$1001,N99, $C$2:$C$1001, 1, $D$2:$D$1001, 0,$E$2:E$1001,5)</f>
        <v>3</v>
      </c>
      <c r="S99" s="5">
        <f t="shared" si="26"/>
        <v>0.7</v>
      </c>
      <c r="T99" s="5">
        <f t="shared" si="27"/>
        <v>0.5</v>
      </c>
    </row>
    <row r="100" spans="1:20" x14ac:dyDescent="0.2">
      <c r="A100" t="s">
        <v>113</v>
      </c>
      <c r="B100" t="s">
        <v>36</v>
      </c>
      <c r="C100">
        <v>1</v>
      </c>
      <c r="D100">
        <v>1</v>
      </c>
      <c r="E100">
        <v>2</v>
      </c>
      <c r="I100" t="s">
        <v>1034</v>
      </c>
      <c r="J100">
        <f>K91/(K91+K90)</f>
        <v>0.5714285714285714</v>
      </c>
      <c r="N100" t="str">
        <v>Horse Riding</v>
      </c>
      <c r="O100">
        <f>COUNTIFS($B$2:$B$1001,N100, $C$2:$C$1001, 1, $D$2:$D$1001, 1,$E$2:E$1001,5)</f>
        <v>9</v>
      </c>
      <c r="P100">
        <f>COUNTIFS($B$2:$B$1001,N100, $C$2:$C$1001, 0, $D$2:$D$1001, 1,$E$2:E$1001,5)</f>
        <v>8</v>
      </c>
      <c r="Q100">
        <f>COUNTIFS($B$2:$B$1001,N100, $C$2:$C$1001, 0, $D$2:$D$1001, 0,$E$2:E$1001,5)</f>
        <v>2</v>
      </c>
      <c r="R100">
        <f>COUNTIFS($B$2:$B$1001,N100, $C$2:$C$1001, 1, $D$2:$D$1001, 0,$E$2:E$1001,5)</f>
        <v>1</v>
      </c>
      <c r="S100" s="5">
        <f t="shared" si="26"/>
        <v>0.9</v>
      </c>
      <c r="T100" s="5">
        <f t="shared" si="27"/>
        <v>0.2</v>
      </c>
    </row>
    <row r="101" spans="1:20" x14ac:dyDescent="0.2">
      <c r="A101" t="s">
        <v>114</v>
      </c>
      <c r="B101" t="s">
        <v>14</v>
      </c>
      <c r="C101">
        <v>1</v>
      </c>
      <c r="D101">
        <v>0</v>
      </c>
      <c r="E101">
        <v>4</v>
      </c>
      <c r="I101" t="s">
        <v>1035</v>
      </c>
      <c r="J101">
        <f>K91/(K91+J91)</f>
        <v>0.68</v>
      </c>
      <c r="N101" t="str">
        <v>iÃà¬ª¬øSalsa Spin</v>
      </c>
    </row>
    <row r="102" spans="1:20" x14ac:dyDescent="0.2">
      <c r="A102" t="s">
        <v>115</v>
      </c>
      <c r="B102" t="s">
        <v>38</v>
      </c>
      <c r="C102">
        <v>0</v>
      </c>
      <c r="D102">
        <v>1</v>
      </c>
      <c r="E102">
        <v>5</v>
      </c>
      <c r="I102" t="s">
        <v>1036</v>
      </c>
      <c r="J102">
        <f>2*(J100*J101/(J100+J101))</f>
        <v>0.62100456621004574</v>
      </c>
    </row>
    <row r="103" spans="1:20" x14ac:dyDescent="0.2">
      <c r="A103" t="s">
        <v>116</v>
      </c>
      <c r="B103" t="s">
        <v>21</v>
      </c>
      <c r="C103">
        <v>1</v>
      </c>
      <c r="D103">
        <v>1</v>
      </c>
      <c r="E103">
        <v>2</v>
      </c>
    </row>
    <row r="104" spans="1:20" x14ac:dyDescent="0.2">
      <c r="A104" t="s">
        <v>117</v>
      </c>
      <c r="B104" t="s">
        <v>10</v>
      </c>
      <c r="C104">
        <v>0</v>
      </c>
      <c r="D104">
        <v>0</v>
      </c>
      <c r="E104">
        <v>1</v>
      </c>
    </row>
    <row r="105" spans="1:20" x14ac:dyDescent="0.2">
      <c r="A105" t="s">
        <v>118</v>
      </c>
      <c r="B105" t="s">
        <v>33</v>
      </c>
      <c r="C105">
        <v>0</v>
      </c>
      <c r="D105">
        <v>1</v>
      </c>
      <c r="E105">
        <v>1</v>
      </c>
    </row>
    <row r="106" spans="1:20" x14ac:dyDescent="0.2">
      <c r="A106" t="s">
        <v>119</v>
      </c>
      <c r="B106" t="s">
        <v>38</v>
      </c>
      <c r="C106">
        <v>1</v>
      </c>
      <c r="D106">
        <v>0</v>
      </c>
      <c r="E106">
        <v>2</v>
      </c>
    </row>
    <row r="107" spans="1:20" x14ac:dyDescent="0.2">
      <c r="A107" t="s">
        <v>120</v>
      </c>
      <c r="B107" t="s">
        <v>14</v>
      </c>
      <c r="C107">
        <v>0</v>
      </c>
      <c r="D107">
        <v>0</v>
      </c>
      <c r="E107">
        <v>1</v>
      </c>
    </row>
    <row r="108" spans="1:20" x14ac:dyDescent="0.2">
      <c r="A108" t="s">
        <v>121</v>
      </c>
      <c r="B108" t="s">
        <v>21</v>
      </c>
      <c r="C108">
        <v>0</v>
      </c>
      <c r="D108">
        <v>1</v>
      </c>
      <c r="E108">
        <v>1</v>
      </c>
    </row>
    <row r="109" spans="1:20" x14ac:dyDescent="0.2">
      <c r="A109" t="s">
        <v>122</v>
      </c>
      <c r="B109" t="s">
        <v>33</v>
      </c>
      <c r="C109">
        <v>0</v>
      </c>
      <c r="D109">
        <v>1</v>
      </c>
      <c r="E109">
        <v>4</v>
      </c>
    </row>
    <row r="110" spans="1:20" x14ac:dyDescent="0.2">
      <c r="A110" t="s">
        <v>123</v>
      </c>
      <c r="B110" t="s">
        <v>36</v>
      </c>
      <c r="C110">
        <v>1</v>
      </c>
      <c r="D110">
        <v>1</v>
      </c>
      <c r="E110">
        <v>5</v>
      </c>
    </row>
    <row r="111" spans="1:20" x14ac:dyDescent="0.2">
      <c r="A111" t="s">
        <v>124</v>
      </c>
      <c r="B111" t="s">
        <v>125</v>
      </c>
      <c r="C111">
        <v>1</v>
      </c>
      <c r="D111">
        <v>0</v>
      </c>
      <c r="E111">
        <v>1</v>
      </c>
    </row>
    <row r="112" spans="1:20" x14ac:dyDescent="0.2">
      <c r="A112" t="s">
        <v>126</v>
      </c>
      <c r="B112" t="s">
        <v>16</v>
      </c>
      <c r="C112">
        <v>1</v>
      </c>
      <c r="D112">
        <v>0</v>
      </c>
      <c r="E112">
        <v>1</v>
      </c>
    </row>
    <row r="113" spans="1:5" x14ac:dyDescent="0.2">
      <c r="A113" t="s">
        <v>127</v>
      </c>
      <c r="B113" t="s">
        <v>21</v>
      </c>
      <c r="C113">
        <v>1</v>
      </c>
      <c r="D113">
        <v>1</v>
      </c>
      <c r="E113">
        <v>2</v>
      </c>
    </row>
    <row r="114" spans="1:5" x14ac:dyDescent="0.2">
      <c r="A114" t="s">
        <v>128</v>
      </c>
      <c r="B114" t="s">
        <v>10</v>
      </c>
      <c r="C114">
        <v>1</v>
      </c>
      <c r="D114">
        <v>1</v>
      </c>
      <c r="E114">
        <v>2</v>
      </c>
    </row>
    <row r="115" spans="1:5" x14ac:dyDescent="0.2">
      <c r="A115" t="s">
        <v>129</v>
      </c>
      <c r="B115" t="s">
        <v>8</v>
      </c>
      <c r="C115">
        <v>1</v>
      </c>
      <c r="D115">
        <v>0</v>
      </c>
      <c r="E115">
        <v>4</v>
      </c>
    </row>
    <row r="116" spans="1:5" x14ac:dyDescent="0.2">
      <c r="A116" t="s">
        <v>130</v>
      </c>
      <c r="B116" t="s">
        <v>14</v>
      </c>
      <c r="C116">
        <v>0</v>
      </c>
      <c r="D116">
        <v>1</v>
      </c>
      <c r="E116">
        <v>2</v>
      </c>
    </row>
    <row r="117" spans="1:5" x14ac:dyDescent="0.2">
      <c r="A117" t="s">
        <v>131</v>
      </c>
      <c r="B117" t="s">
        <v>12</v>
      </c>
      <c r="C117">
        <v>1</v>
      </c>
      <c r="D117">
        <v>1</v>
      </c>
      <c r="E117">
        <v>5</v>
      </c>
    </row>
    <row r="118" spans="1:5" x14ac:dyDescent="0.2">
      <c r="A118" t="s">
        <v>132</v>
      </c>
      <c r="B118" t="s">
        <v>12</v>
      </c>
      <c r="C118">
        <v>0</v>
      </c>
      <c r="D118">
        <v>0</v>
      </c>
      <c r="E118">
        <v>3</v>
      </c>
    </row>
    <row r="119" spans="1:5" x14ac:dyDescent="0.2">
      <c r="A119" t="s">
        <v>133</v>
      </c>
      <c r="B119" t="s">
        <v>33</v>
      </c>
      <c r="C119">
        <v>0</v>
      </c>
      <c r="D119">
        <v>0</v>
      </c>
      <c r="E119">
        <v>3</v>
      </c>
    </row>
    <row r="120" spans="1:5" x14ac:dyDescent="0.2">
      <c r="A120" t="s">
        <v>134</v>
      </c>
      <c r="B120" t="s">
        <v>21</v>
      </c>
      <c r="C120">
        <v>0</v>
      </c>
      <c r="D120">
        <v>0</v>
      </c>
      <c r="E120">
        <v>1</v>
      </c>
    </row>
    <row r="121" spans="1:5" x14ac:dyDescent="0.2">
      <c r="A121" t="s">
        <v>135</v>
      </c>
      <c r="B121" t="s">
        <v>14</v>
      </c>
      <c r="C121">
        <v>0</v>
      </c>
      <c r="D121">
        <v>0</v>
      </c>
      <c r="E121">
        <v>4</v>
      </c>
    </row>
    <row r="122" spans="1:5" x14ac:dyDescent="0.2">
      <c r="A122" t="s">
        <v>136</v>
      </c>
      <c r="B122" t="s">
        <v>14</v>
      </c>
      <c r="C122">
        <v>0</v>
      </c>
      <c r="D122">
        <v>1</v>
      </c>
      <c r="E122">
        <v>2</v>
      </c>
    </row>
    <row r="123" spans="1:5" x14ac:dyDescent="0.2">
      <c r="A123" t="s">
        <v>137</v>
      </c>
      <c r="B123" t="s">
        <v>8</v>
      </c>
      <c r="C123">
        <v>1</v>
      </c>
      <c r="D123">
        <v>0</v>
      </c>
      <c r="E123">
        <v>3</v>
      </c>
    </row>
    <row r="124" spans="1:5" x14ac:dyDescent="0.2">
      <c r="A124" t="s">
        <v>138</v>
      </c>
      <c r="B124" t="s">
        <v>36</v>
      </c>
      <c r="C124">
        <v>0</v>
      </c>
      <c r="D124">
        <v>1</v>
      </c>
      <c r="E124">
        <v>4</v>
      </c>
    </row>
    <row r="125" spans="1:5" x14ac:dyDescent="0.2">
      <c r="A125" t="s">
        <v>139</v>
      </c>
      <c r="B125" t="s">
        <v>12</v>
      </c>
      <c r="C125">
        <v>0</v>
      </c>
      <c r="D125">
        <v>0</v>
      </c>
      <c r="E125">
        <v>5</v>
      </c>
    </row>
    <row r="126" spans="1:5" x14ac:dyDescent="0.2">
      <c r="A126" t="s">
        <v>140</v>
      </c>
      <c r="B126" t="s">
        <v>10</v>
      </c>
      <c r="C126">
        <v>1</v>
      </c>
      <c r="D126">
        <v>1</v>
      </c>
      <c r="E126">
        <v>2</v>
      </c>
    </row>
    <row r="127" spans="1:5" x14ac:dyDescent="0.2">
      <c r="A127" t="s">
        <v>141</v>
      </c>
      <c r="B127" t="s">
        <v>8</v>
      </c>
      <c r="C127">
        <v>1</v>
      </c>
      <c r="D127">
        <v>0</v>
      </c>
      <c r="E127">
        <v>4</v>
      </c>
    </row>
    <row r="128" spans="1:5" x14ac:dyDescent="0.2">
      <c r="A128" t="s">
        <v>142</v>
      </c>
      <c r="B128" t="s">
        <v>14</v>
      </c>
      <c r="C128">
        <v>1</v>
      </c>
      <c r="D128">
        <v>1</v>
      </c>
      <c r="E128">
        <v>5</v>
      </c>
    </row>
    <row r="129" spans="1:5" x14ac:dyDescent="0.2">
      <c r="A129" t="s">
        <v>143</v>
      </c>
      <c r="B129" t="s">
        <v>10</v>
      </c>
      <c r="C129">
        <v>1</v>
      </c>
      <c r="D129">
        <v>1</v>
      </c>
      <c r="E129">
        <v>5</v>
      </c>
    </row>
    <row r="130" spans="1:5" x14ac:dyDescent="0.2">
      <c r="A130" t="s">
        <v>144</v>
      </c>
      <c r="B130" t="s">
        <v>12</v>
      </c>
      <c r="C130">
        <v>1</v>
      </c>
      <c r="D130">
        <v>1</v>
      </c>
      <c r="E130">
        <v>2</v>
      </c>
    </row>
    <row r="131" spans="1:5" x14ac:dyDescent="0.2">
      <c r="A131" t="s">
        <v>145</v>
      </c>
      <c r="B131" t="s">
        <v>14</v>
      </c>
      <c r="C131">
        <v>0</v>
      </c>
      <c r="D131">
        <v>1</v>
      </c>
      <c r="E131">
        <v>3</v>
      </c>
    </row>
    <row r="132" spans="1:5" x14ac:dyDescent="0.2">
      <c r="A132" t="s">
        <v>146</v>
      </c>
      <c r="B132" t="s">
        <v>36</v>
      </c>
      <c r="C132">
        <v>0</v>
      </c>
      <c r="D132">
        <v>1</v>
      </c>
      <c r="E132">
        <v>2</v>
      </c>
    </row>
    <row r="133" spans="1:5" x14ac:dyDescent="0.2">
      <c r="A133" t="s">
        <v>147</v>
      </c>
      <c r="B133" t="s">
        <v>33</v>
      </c>
      <c r="C133">
        <v>0</v>
      </c>
      <c r="D133">
        <v>0</v>
      </c>
      <c r="E133">
        <v>3</v>
      </c>
    </row>
    <row r="134" spans="1:5" x14ac:dyDescent="0.2">
      <c r="A134" t="s">
        <v>148</v>
      </c>
      <c r="B134" t="s">
        <v>36</v>
      </c>
      <c r="C134">
        <v>1</v>
      </c>
      <c r="D134">
        <v>0</v>
      </c>
      <c r="E134">
        <v>1</v>
      </c>
    </row>
    <row r="135" spans="1:5" x14ac:dyDescent="0.2">
      <c r="A135" t="s">
        <v>149</v>
      </c>
      <c r="B135" t="s">
        <v>14</v>
      </c>
      <c r="C135">
        <v>1</v>
      </c>
      <c r="D135">
        <v>1</v>
      </c>
      <c r="E135">
        <v>2</v>
      </c>
    </row>
    <row r="136" spans="1:5" x14ac:dyDescent="0.2">
      <c r="A136" t="s">
        <v>150</v>
      </c>
      <c r="B136" t="s">
        <v>14</v>
      </c>
      <c r="C136">
        <v>0</v>
      </c>
      <c r="D136">
        <v>1</v>
      </c>
      <c r="E136">
        <v>1</v>
      </c>
    </row>
    <row r="137" spans="1:5" x14ac:dyDescent="0.2">
      <c r="A137" t="s">
        <v>151</v>
      </c>
      <c r="B137" t="s">
        <v>36</v>
      </c>
      <c r="C137">
        <v>1</v>
      </c>
      <c r="D137">
        <v>1</v>
      </c>
      <c r="E137">
        <v>4</v>
      </c>
    </row>
    <row r="138" spans="1:5" x14ac:dyDescent="0.2">
      <c r="A138" t="s">
        <v>152</v>
      </c>
      <c r="B138" t="s">
        <v>10</v>
      </c>
      <c r="C138">
        <v>0</v>
      </c>
      <c r="D138">
        <v>1</v>
      </c>
      <c r="E138">
        <v>2</v>
      </c>
    </row>
    <row r="139" spans="1:5" x14ac:dyDescent="0.2">
      <c r="A139" t="s">
        <v>153</v>
      </c>
      <c r="B139" t="s">
        <v>6</v>
      </c>
      <c r="C139">
        <v>1</v>
      </c>
      <c r="D139">
        <v>1</v>
      </c>
      <c r="E139">
        <v>2</v>
      </c>
    </row>
    <row r="140" spans="1:5" x14ac:dyDescent="0.2">
      <c r="A140" t="s">
        <v>154</v>
      </c>
      <c r="B140" t="s">
        <v>14</v>
      </c>
      <c r="C140">
        <v>0</v>
      </c>
      <c r="D140">
        <v>1</v>
      </c>
      <c r="E140">
        <v>4</v>
      </c>
    </row>
    <row r="141" spans="1:5" x14ac:dyDescent="0.2">
      <c r="A141" t="s">
        <v>155</v>
      </c>
      <c r="B141" t="s">
        <v>16</v>
      </c>
      <c r="C141">
        <v>0</v>
      </c>
      <c r="D141">
        <v>0</v>
      </c>
      <c r="E141">
        <v>2</v>
      </c>
    </row>
    <row r="142" spans="1:5" x14ac:dyDescent="0.2">
      <c r="A142" t="s">
        <v>156</v>
      </c>
      <c r="B142" t="s">
        <v>12</v>
      </c>
      <c r="C142">
        <v>0</v>
      </c>
      <c r="D142">
        <v>1</v>
      </c>
      <c r="E142">
        <v>3</v>
      </c>
    </row>
    <row r="143" spans="1:5" x14ac:dyDescent="0.2">
      <c r="A143" t="s">
        <v>157</v>
      </c>
      <c r="B143" t="s">
        <v>10</v>
      </c>
      <c r="C143">
        <v>0</v>
      </c>
      <c r="D143">
        <v>1</v>
      </c>
      <c r="E143">
        <v>4</v>
      </c>
    </row>
    <row r="144" spans="1:5" x14ac:dyDescent="0.2">
      <c r="A144" t="s">
        <v>158</v>
      </c>
      <c r="B144" t="s">
        <v>10</v>
      </c>
      <c r="C144">
        <v>0</v>
      </c>
      <c r="D144">
        <v>0</v>
      </c>
      <c r="E144">
        <v>1</v>
      </c>
    </row>
    <row r="145" spans="1:5" x14ac:dyDescent="0.2">
      <c r="A145" t="s">
        <v>159</v>
      </c>
      <c r="B145" t="s">
        <v>10</v>
      </c>
      <c r="C145">
        <v>1</v>
      </c>
      <c r="D145">
        <v>0</v>
      </c>
      <c r="E145">
        <v>1</v>
      </c>
    </row>
    <row r="146" spans="1:5" x14ac:dyDescent="0.2">
      <c r="A146" t="s">
        <v>160</v>
      </c>
      <c r="B146" t="s">
        <v>36</v>
      </c>
      <c r="C146">
        <v>1</v>
      </c>
      <c r="D146">
        <v>0</v>
      </c>
      <c r="E146">
        <v>3</v>
      </c>
    </row>
    <row r="147" spans="1:5" x14ac:dyDescent="0.2">
      <c r="A147" t="s">
        <v>161</v>
      </c>
      <c r="B147" t="s">
        <v>33</v>
      </c>
      <c r="C147">
        <v>0</v>
      </c>
      <c r="D147">
        <v>1</v>
      </c>
      <c r="E147">
        <v>1</v>
      </c>
    </row>
    <row r="148" spans="1:5" x14ac:dyDescent="0.2">
      <c r="A148" t="s">
        <v>162</v>
      </c>
      <c r="B148" t="s">
        <v>6</v>
      </c>
      <c r="C148">
        <v>0</v>
      </c>
      <c r="D148">
        <v>0</v>
      </c>
      <c r="E148">
        <v>1</v>
      </c>
    </row>
    <row r="149" spans="1:5" x14ac:dyDescent="0.2">
      <c r="A149" t="s">
        <v>163</v>
      </c>
      <c r="B149" t="s">
        <v>10</v>
      </c>
      <c r="C149">
        <v>0</v>
      </c>
      <c r="D149">
        <v>0</v>
      </c>
      <c r="E149">
        <v>5</v>
      </c>
    </row>
    <row r="150" spans="1:5" x14ac:dyDescent="0.2">
      <c r="A150" t="s">
        <v>164</v>
      </c>
      <c r="B150" t="s">
        <v>33</v>
      </c>
      <c r="C150">
        <v>0</v>
      </c>
      <c r="D150">
        <v>0</v>
      </c>
      <c r="E150">
        <v>4</v>
      </c>
    </row>
    <row r="151" spans="1:5" x14ac:dyDescent="0.2">
      <c r="A151" t="s">
        <v>165</v>
      </c>
      <c r="B151" t="s">
        <v>21</v>
      </c>
      <c r="C151">
        <v>1</v>
      </c>
      <c r="D151">
        <v>1</v>
      </c>
      <c r="E151">
        <v>3</v>
      </c>
    </row>
    <row r="152" spans="1:5" x14ac:dyDescent="0.2">
      <c r="A152" t="s">
        <v>166</v>
      </c>
      <c r="B152" t="s">
        <v>33</v>
      </c>
      <c r="C152">
        <v>0</v>
      </c>
      <c r="D152">
        <v>0</v>
      </c>
      <c r="E152">
        <v>3</v>
      </c>
    </row>
    <row r="153" spans="1:5" x14ac:dyDescent="0.2">
      <c r="A153" t="s">
        <v>167</v>
      </c>
      <c r="B153" t="s">
        <v>10</v>
      </c>
      <c r="C153">
        <v>0</v>
      </c>
      <c r="D153">
        <v>1</v>
      </c>
      <c r="E153">
        <v>3</v>
      </c>
    </row>
    <row r="154" spans="1:5" x14ac:dyDescent="0.2">
      <c r="A154" t="s">
        <v>168</v>
      </c>
      <c r="B154" t="s">
        <v>33</v>
      </c>
      <c r="C154">
        <v>0</v>
      </c>
      <c r="D154">
        <v>0</v>
      </c>
      <c r="E154">
        <v>5</v>
      </c>
    </row>
    <row r="155" spans="1:5" x14ac:dyDescent="0.2">
      <c r="A155" t="s">
        <v>169</v>
      </c>
      <c r="B155" t="s">
        <v>10</v>
      </c>
      <c r="C155">
        <v>0</v>
      </c>
      <c r="D155">
        <v>0</v>
      </c>
      <c r="E155">
        <v>4</v>
      </c>
    </row>
    <row r="156" spans="1:5" x14ac:dyDescent="0.2">
      <c r="A156" t="s">
        <v>170</v>
      </c>
      <c r="B156" t="s">
        <v>8</v>
      </c>
      <c r="C156">
        <v>1</v>
      </c>
      <c r="D156">
        <v>1</v>
      </c>
      <c r="E156">
        <v>3</v>
      </c>
    </row>
    <row r="157" spans="1:5" x14ac:dyDescent="0.2">
      <c r="A157" t="s">
        <v>171</v>
      </c>
      <c r="B157" t="s">
        <v>16</v>
      </c>
      <c r="C157">
        <v>0</v>
      </c>
      <c r="D157">
        <v>0</v>
      </c>
      <c r="E157">
        <v>2</v>
      </c>
    </row>
    <row r="158" spans="1:5" x14ac:dyDescent="0.2">
      <c r="A158" t="s">
        <v>172</v>
      </c>
      <c r="B158" t="s">
        <v>38</v>
      </c>
      <c r="C158">
        <v>0</v>
      </c>
      <c r="D158">
        <v>1</v>
      </c>
      <c r="E158">
        <v>4</v>
      </c>
    </row>
    <row r="159" spans="1:5" x14ac:dyDescent="0.2">
      <c r="A159" t="s">
        <v>173</v>
      </c>
      <c r="B159" t="s">
        <v>33</v>
      </c>
      <c r="C159">
        <v>0</v>
      </c>
      <c r="D159">
        <v>1</v>
      </c>
      <c r="E159">
        <v>5</v>
      </c>
    </row>
    <row r="160" spans="1:5" x14ac:dyDescent="0.2">
      <c r="A160" t="s">
        <v>174</v>
      </c>
      <c r="B160" t="s">
        <v>33</v>
      </c>
      <c r="C160">
        <v>1</v>
      </c>
      <c r="D160">
        <v>0</v>
      </c>
      <c r="E160">
        <v>1</v>
      </c>
    </row>
    <row r="161" spans="1:5" x14ac:dyDescent="0.2">
      <c r="A161" t="s">
        <v>175</v>
      </c>
      <c r="B161" t="s">
        <v>14</v>
      </c>
      <c r="C161">
        <v>1</v>
      </c>
      <c r="D161">
        <v>0</v>
      </c>
      <c r="E161">
        <v>3</v>
      </c>
    </row>
    <row r="162" spans="1:5" x14ac:dyDescent="0.2">
      <c r="A162" t="s">
        <v>176</v>
      </c>
      <c r="B162" t="s">
        <v>14</v>
      </c>
      <c r="C162">
        <v>0</v>
      </c>
      <c r="D162">
        <v>0</v>
      </c>
      <c r="E162">
        <v>5</v>
      </c>
    </row>
    <row r="163" spans="1:5" x14ac:dyDescent="0.2">
      <c r="A163" t="s">
        <v>177</v>
      </c>
      <c r="B163" t="s">
        <v>6</v>
      </c>
      <c r="C163">
        <v>0</v>
      </c>
      <c r="D163">
        <v>1</v>
      </c>
      <c r="E163">
        <v>4</v>
      </c>
    </row>
    <row r="164" spans="1:5" x14ac:dyDescent="0.2">
      <c r="A164" t="s">
        <v>178</v>
      </c>
      <c r="B164" t="s">
        <v>8</v>
      </c>
      <c r="C164">
        <v>0</v>
      </c>
      <c r="D164">
        <v>0</v>
      </c>
      <c r="E164">
        <v>5</v>
      </c>
    </row>
    <row r="165" spans="1:5" x14ac:dyDescent="0.2">
      <c r="A165" t="s">
        <v>179</v>
      </c>
      <c r="B165" t="s">
        <v>21</v>
      </c>
      <c r="C165">
        <v>1</v>
      </c>
      <c r="D165">
        <v>0</v>
      </c>
      <c r="E165">
        <v>3</v>
      </c>
    </row>
    <row r="166" spans="1:5" x14ac:dyDescent="0.2">
      <c r="A166" t="s">
        <v>180</v>
      </c>
      <c r="B166" t="s">
        <v>6</v>
      </c>
      <c r="C166">
        <v>0</v>
      </c>
      <c r="D166">
        <v>1</v>
      </c>
      <c r="E166">
        <v>1</v>
      </c>
    </row>
    <row r="167" spans="1:5" x14ac:dyDescent="0.2">
      <c r="A167" t="s">
        <v>181</v>
      </c>
      <c r="B167" t="s">
        <v>14</v>
      </c>
      <c r="C167">
        <v>0</v>
      </c>
      <c r="D167">
        <v>0</v>
      </c>
      <c r="E167">
        <v>3</v>
      </c>
    </row>
    <row r="168" spans="1:5" x14ac:dyDescent="0.2">
      <c r="A168" t="s">
        <v>182</v>
      </c>
      <c r="B168" t="s">
        <v>33</v>
      </c>
      <c r="C168">
        <v>0</v>
      </c>
      <c r="D168">
        <v>1</v>
      </c>
      <c r="E168">
        <v>3</v>
      </c>
    </row>
    <row r="169" spans="1:5" x14ac:dyDescent="0.2">
      <c r="A169" t="s">
        <v>183</v>
      </c>
      <c r="B169" t="s">
        <v>38</v>
      </c>
      <c r="C169">
        <v>0</v>
      </c>
      <c r="D169">
        <v>1</v>
      </c>
      <c r="E169">
        <v>5</v>
      </c>
    </row>
    <row r="170" spans="1:5" x14ac:dyDescent="0.2">
      <c r="A170" t="s">
        <v>184</v>
      </c>
      <c r="B170" t="s">
        <v>36</v>
      </c>
      <c r="C170">
        <v>0</v>
      </c>
      <c r="D170">
        <v>1</v>
      </c>
      <c r="E170">
        <v>1</v>
      </c>
    </row>
    <row r="171" spans="1:5" x14ac:dyDescent="0.2">
      <c r="A171" t="s">
        <v>185</v>
      </c>
      <c r="B171" t="s">
        <v>6</v>
      </c>
      <c r="C171">
        <v>1</v>
      </c>
      <c r="D171">
        <v>0</v>
      </c>
      <c r="E171">
        <v>3</v>
      </c>
    </row>
    <row r="172" spans="1:5" x14ac:dyDescent="0.2">
      <c r="A172" t="s">
        <v>186</v>
      </c>
      <c r="B172" t="s">
        <v>33</v>
      </c>
      <c r="C172">
        <v>1</v>
      </c>
      <c r="D172">
        <v>0</v>
      </c>
      <c r="E172">
        <v>4</v>
      </c>
    </row>
    <row r="173" spans="1:5" x14ac:dyDescent="0.2">
      <c r="A173" t="s">
        <v>187</v>
      </c>
      <c r="B173" t="s">
        <v>36</v>
      </c>
      <c r="C173">
        <v>0</v>
      </c>
      <c r="D173">
        <v>1</v>
      </c>
      <c r="E173">
        <v>2</v>
      </c>
    </row>
    <row r="174" spans="1:5" x14ac:dyDescent="0.2">
      <c r="A174" t="s">
        <v>188</v>
      </c>
      <c r="B174" t="s">
        <v>36</v>
      </c>
      <c r="C174">
        <v>1</v>
      </c>
      <c r="D174">
        <v>0</v>
      </c>
      <c r="E174">
        <v>3</v>
      </c>
    </row>
    <row r="175" spans="1:5" x14ac:dyDescent="0.2">
      <c r="A175" t="s">
        <v>189</v>
      </c>
      <c r="B175" t="s">
        <v>36</v>
      </c>
      <c r="C175">
        <v>0</v>
      </c>
      <c r="D175">
        <v>1</v>
      </c>
      <c r="E175">
        <v>2</v>
      </c>
    </row>
    <row r="176" spans="1:5" x14ac:dyDescent="0.2">
      <c r="A176" t="s">
        <v>190</v>
      </c>
      <c r="B176" t="s">
        <v>12</v>
      </c>
      <c r="C176">
        <v>1</v>
      </c>
      <c r="D176">
        <v>0</v>
      </c>
      <c r="E176">
        <v>2</v>
      </c>
    </row>
    <row r="177" spans="1:5" x14ac:dyDescent="0.2">
      <c r="A177" t="s">
        <v>191</v>
      </c>
      <c r="B177" t="s">
        <v>8</v>
      </c>
      <c r="C177">
        <v>1</v>
      </c>
      <c r="D177">
        <v>1</v>
      </c>
      <c r="E177">
        <v>5</v>
      </c>
    </row>
    <row r="178" spans="1:5" x14ac:dyDescent="0.2">
      <c r="A178" t="s">
        <v>192</v>
      </c>
      <c r="B178" t="s">
        <v>14</v>
      </c>
      <c r="C178">
        <v>1</v>
      </c>
      <c r="D178">
        <v>1</v>
      </c>
      <c r="E178">
        <v>4</v>
      </c>
    </row>
    <row r="179" spans="1:5" x14ac:dyDescent="0.2">
      <c r="A179" t="s">
        <v>193</v>
      </c>
      <c r="B179" t="s">
        <v>6</v>
      </c>
      <c r="C179">
        <v>1</v>
      </c>
      <c r="D179">
        <v>1</v>
      </c>
      <c r="E179">
        <v>1</v>
      </c>
    </row>
    <row r="180" spans="1:5" x14ac:dyDescent="0.2">
      <c r="A180" t="s">
        <v>194</v>
      </c>
      <c r="B180" t="s">
        <v>33</v>
      </c>
      <c r="C180">
        <v>0</v>
      </c>
      <c r="D180">
        <v>1</v>
      </c>
      <c r="E180">
        <v>2</v>
      </c>
    </row>
    <row r="181" spans="1:5" x14ac:dyDescent="0.2">
      <c r="A181" t="s">
        <v>195</v>
      </c>
      <c r="B181" t="s">
        <v>10</v>
      </c>
      <c r="C181">
        <v>0</v>
      </c>
      <c r="D181">
        <v>0</v>
      </c>
      <c r="E181">
        <v>5</v>
      </c>
    </row>
    <row r="182" spans="1:5" x14ac:dyDescent="0.2">
      <c r="A182" t="s">
        <v>196</v>
      </c>
      <c r="B182" t="s">
        <v>8</v>
      </c>
      <c r="C182">
        <v>1</v>
      </c>
      <c r="D182">
        <v>1</v>
      </c>
      <c r="E182">
        <v>5</v>
      </c>
    </row>
    <row r="183" spans="1:5" x14ac:dyDescent="0.2">
      <c r="A183" t="s">
        <v>197</v>
      </c>
      <c r="B183" t="s">
        <v>36</v>
      </c>
      <c r="C183">
        <v>0</v>
      </c>
      <c r="D183">
        <v>1</v>
      </c>
      <c r="E183">
        <v>3</v>
      </c>
    </row>
    <row r="184" spans="1:5" x14ac:dyDescent="0.2">
      <c r="A184" t="s">
        <v>198</v>
      </c>
      <c r="B184" t="s">
        <v>8</v>
      </c>
      <c r="C184">
        <v>0</v>
      </c>
      <c r="D184">
        <v>1</v>
      </c>
      <c r="E184">
        <v>4</v>
      </c>
    </row>
    <row r="185" spans="1:5" x14ac:dyDescent="0.2">
      <c r="A185" t="s">
        <v>199</v>
      </c>
      <c r="B185" t="s">
        <v>6</v>
      </c>
      <c r="C185">
        <v>0</v>
      </c>
      <c r="D185">
        <v>1</v>
      </c>
      <c r="E185">
        <v>2</v>
      </c>
    </row>
    <row r="186" spans="1:5" x14ac:dyDescent="0.2">
      <c r="A186" t="s">
        <v>200</v>
      </c>
      <c r="B186" t="s">
        <v>8</v>
      </c>
      <c r="C186">
        <v>1</v>
      </c>
      <c r="D186">
        <v>0</v>
      </c>
      <c r="E186">
        <v>5</v>
      </c>
    </row>
    <row r="187" spans="1:5" x14ac:dyDescent="0.2">
      <c r="A187" t="s">
        <v>201</v>
      </c>
      <c r="B187" t="s">
        <v>16</v>
      </c>
      <c r="C187">
        <v>0</v>
      </c>
      <c r="D187">
        <v>1</v>
      </c>
      <c r="E187">
        <v>2</v>
      </c>
    </row>
    <row r="188" spans="1:5" x14ac:dyDescent="0.2">
      <c r="A188" t="s">
        <v>202</v>
      </c>
      <c r="B188" t="s">
        <v>10</v>
      </c>
      <c r="C188">
        <v>1</v>
      </c>
      <c r="D188">
        <v>0</v>
      </c>
      <c r="E188">
        <v>4</v>
      </c>
    </row>
    <row r="189" spans="1:5" x14ac:dyDescent="0.2">
      <c r="A189" t="s">
        <v>203</v>
      </c>
      <c r="B189" t="s">
        <v>6</v>
      </c>
      <c r="C189">
        <v>0</v>
      </c>
      <c r="D189">
        <v>1</v>
      </c>
      <c r="E189">
        <v>5</v>
      </c>
    </row>
    <row r="190" spans="1:5" x14ac:dyDescent="0.2">
      <c r="A190" t="s">
        <v>204</v>
      </c>
      <c r="B190" t="s">
        <v>6</v>
      </c>
      <c r="C190">
        <v>1</v>
      </c>
      <c r="D190">
        <v>1</v>
      </c>
      <c r="E190">
        <v>5</v>
      </c>
    </row>
    <row r="191" spans="1:5" x14ac:dyDescent="0.2">
      <c r="A191" t="s">
        <v>205</v>
      </c>
      <c r="B191" t="s">
        <v>36</v>
      </c>
      <c r="C191">
        <v>1</v>
      </c>
      <c r="D191">
        <v>1</v>
      </c>
      <c r="E191">
        <v>3</v>
      </c>
    </row>
    <row r="192" spans="1:5" x14ac:dyDescent="0.2">
      <c r="A192" t="s">
        <v>206</v>
      </c>
      <c r="B192" t="s">
        <v>10</v>
      </c>
      <c r="C192">
        <v>1</v>
      </c>
      <c r="D192">
        <v>1</v>
      </c>
      <c r="E192">
        <v>3</v>
      </c>
    </row>
    <row r="193" spans="1:5" x14ac:dyDescent="0.2">
      <c r="A193" t="s">
        <v>207</v>
      </c>
      <c r="B193" t="s">
        <v>6</v>
      </c>
      <c r="C193">
        <v>0</v>
      </c>
      <c r="D193">
        <v>0</v>
      </c>
      <c r="E193">
        <v>3</v>
      </c>
    </row>
    <row r="194" spans="1:5" x14ac:dyDescent="0.2">
      <c r="A194" t="s">
        <v>208</v>
      </c>
      <c r="B194" t="s">
        <v>8</v>
      </c>
      <c r="C194">
        <v>0</v>
      </c>
      <c r="D194">
        <v>0</v>
      </c>
      <c r="E194">
        <v>3</v>
      </c>
    </row>
    <row r="195" spans="1:5" x14ac:dyDescent="0.2">
      <c r="A195" t="s">
        <v>209</v>
      </c>
      <c r="B195" t="s">
        <v>12</v>
      </c>
      <c r="C195">
        <v>0</v>
      </c>
      <c r="D195">
        <v>0</v>
      </c>
      <c r="E195">
        <v>4</v>
      </c>
    </row>
    <row r="196" spans="1:5" x14ac:dyDescent="0.2">
      <c r="A196" t="s">
        <v>210</v>
      </c>
      <c r="B196" t="s">
        <v>10</v>
      </c>
      <c r="C196">
        <v>1</v>
      </c>
      <c r="D196">
        <v>0</v>
      </c>
      <c r="E196">
        <v>1</v>
      </c>
    </row>
    <row r="197" spans="1:5" x14ac:dyDescent="0.2">
      <c r="A197" t="s">
        <v>211</v>
      </c>
      <c r="B197" t="s">
        <v>14</v>
      </c>
      <c r="C197">
        <v>1</v>
      </c>
      <c r="D197">
        <v>1</v>
      </c>
      <c r="E197">
        <v>2</v>
      </c>
    </row>
    <row r="198" spans="1:5" x14ac:dyDescent="0.2">
      <c r="A198" t="s">
        <v>212</v>
      </c>
      <c r="B198" t="s">
        <v>8</v>
      </c>
      <c r="C198">
        <v>0</v>
      </c>
      <c r="D198">
        <v>1</v>
      </c>
      <c r="E198">
        <v>3</v>
      </c>
    </row>
    <row r="199" spans="1:5" x14ac:dyDescent="0.2">
      <c r="A199" t="s">
        <v>213</v>
      </c>
      <c r="B199" t="s">
        <v>36</v>
      </c>
      <c r="C199">
        <v>0</v>
      </c>
      <c r="D199">
        <v>1</v>
      </c>
      <c r="E199">
        <v>1</v>
      </c>
    </row>
    <row r="200" spans="1:5" x14ac:dyDescent="0.2">
      <c r="A200" t="s">
        <v>214</v>
      </c>
      <c r="B200" t="s">
        <v>21</v>
      </c>
      <c r="C200">
        <v>0</v>
      </c>
      <c r="D200">
        <v>1</v>
      </c>
      <c r="E200">
        <v>5</v>
      </c>
    </row>
    <row r="201" spans="1:5" x14ac:dyDescent="0.2">
      <c r="A201" t="s">
        <v>215</v>
      </c>
      <c r="B201" t="s">
        <v>12</v>
      </c>
      <c r="C201">
        <v>0</v>
      </c>
      <c r="D201">
        <v>1</v>
      </c>
      <c r="E201">
        <v>3</v>
      </c>
    </row>
    <row r="202" spans="1:5" x14ac:dyDescent="0.2">
      <c r="A202" t="s">
        <v>216</v>
      </c>
      <c r="B202" t="s">
        <v>10</v>
      </c>
      <c r="C202">
        <v>0</v>
      </c>
      <c r="D202">
        <v>0</v>
      </c>
      <c r="E202">
        <v>3</v>
      </c>
    </row>
    <row r="203" spans="1:5" x14ac:dyDescent="0.2">
      <c r="A203" t="s">
        <v>217</v>
      </c>
      <c r="B203" t="s">
        <v>6</v>
      </c>
      <c r="C203">
        <v>0</v>
      </c>
      <c r="D203">
        <v>0</v>
      </c>
      <c r="E203">
        <v>1</v>
      </c>
    </row>
    <row r="204" spans="1:5" x14ac:dyDescent="0.2">
      <c r="A204" t="s">
        <v>218</v>
      </c>
      <c r="B204" t="s">
        <v>6</v>
      </c>
      <c r="C204">
        <v>1</v>
      </c>
      <c r="D204">
        <v>1</v>
      </c>
      <c r="E204">
        <v>2</v>
      </c>
    </row>
    <row r="205" spans="1:5" x14ac:dyDescent="0.2">
      <c r="A205" t="s">
        <v>219</v>
      </c>
      <c r="B205" t="s">
        <v>10</v>
      </c>
      <c r="C205">
        <v>1</v>
      </c>
      <c r="D205">
        <v>1</v>
      </c>
      <c r="E205">
        <v>1</v>
      </c>
    </row>
    <row r="206" spans="1:5" x14ac:dyDescent="0.2">
      <c r="A206" t="s">
        <v>220</v>
      </c>
      <c r="B206" t="s">
        <v>12</v>
      </c>
      <c r="C206">
        <v>0</v>
      </c>
      <c r="D206">
        <v>1</v>
      </c>
      <c r="E206">
        <v>5</v>
      </c>
    </row>
    <row r="207" spans="1:5" x14ac:dyDescent="0.2">
      <c r="A207" t="s">
        <v>221</v>
      </c>
      <c r="B207" t="s">
        <v>33</v>
      </c>
      <c r="C207">
        <v>0</v>
      </c>
      <c r="D207">
        <v>0</v>
      </c>
      <c r="E207">
        <v>1</v>
      </c>
    </row>
    <row r="208" spans="1:5" x14ac:dyDescent="0.2">
      <c r="A208" t="s">
        <v>222</v>
      </c>
      <c r="B208" t="s">
        <v>36</v>
      </c>
      <c r="C208">
        <v>0</v>
      </c>
      <c r="D208">
        <v>0</v>
      </c>
      <c r="E208">
        <v>4</v>
      </c>
    </row>
    <row r="209" spans="1:5" x14ac:dyDescent="0.2">
      <c r="A209" t="s">
        <v>223</v>
      </c>
      <c r="B209" t="s">
        <v>14</v>
      </c>
      <c r="C209">
        <v>0</v>
      </c>
      <c r="D209">
        <v>1</v>
      </c>
      <c r="E209">
        <v>2</v>
      </c>
    </row>
    <row r="210" spans="1:5" x14ac:dyDescent="0.2">
      <c r="A210" t="s">
        <v>224</v>
      </c>
      <c r="B210" t="s">
        <v>16</v>
      </c>
      <c r="C210">
        <v>1</v>
      </c>
      <c r="D210">
        <v>1</v>
      </c>
      <c r="E210">
        <v>4</v>
      </c>
    </row>
    <row r="211" spans="1:5" x14ac:dyDescent="0.2">
      <c r="A211" t="s">
        <v>225</v>
      </c>
      <c r="B211" t="s">
        <v>38</v>
      </c>
      <c r="C211">
        <v>0</v>
      </c>
      <c r="D211">
        <v>1</v>
      </c>
      <c r="E211">
        <v>1</v>
      </c>
    </row>
    <row r="212" spans="1:5" x14ac:dyDescent="0.2">
      <c r="A212" t="s">
        <v>226</v>
      </c>
      <c r="B212" t="s">
        <v>12</v>
      </c>
      <c r="C212">
        <v>1</v>
      </c>
      <c r="D212">
        <v>1</v>
      </c>
      <c r="E212">
        <v>2</v>
      </c>
    </row>
    <row r="213" spans="1:5" x14ac:dyDescent="0.2">
      <c r="A213" t="s">
        <v>227</v>
      </c>
      <c r="B213" t="s">
        <v>8</v>
      </c>
      <c r="C213">
        <v>0</v>
      </c>
      <c r="D213">
        <v>1</v>
      </c>
      <c r="E213">
        <v>2</v>
      </c>
    </row>
    <row r="214" spans="1:5" x14ac:dyDescent="0.2">
      <c r="A214" t="s">
        <v>228</v>
      </c>
      <c r="B214" t="s">
        <v>10</v>
      </c>
      <c r="C214">
        <v>0</v>
      </c>
      <c r="D214">
        <v>1</v>
      </c>
      <c r="E214">
        <v>3</v>
      </c>
    </row>
    <row r="215" spans="1:5" x14ac:dyDescent="0.2">
      <c r="A215" t="s">
        <v>229</v>
      </c>
      <c r="B215" t="s">
        <v>33</v>
      </c>
      <c r="C215">
        <v>0</v>
      </c>
      <c r="D215">
        <v>1</v>
      </c>
      <c r="E215">
        <v>5</v>
      </c>
    </row>
    <row r="216" spans="1:5" x14ac:dyDescent="0.2">
      <c r="A216" t="s">
        <v>230</v>
      </c>
      <c r="B216" t="s">
        <v>38</v>
      </c>
      <c r="C216">
        <v>1</v>
      </c>
      <c r="D216">
        <v>1</v>
      </c>
      <c r="E216">
        <v>3</v>
      </c>
    </row>
    <row r="217" spans="1:5" x14ac:dyDescent="0.2">
      <c r="A217" t="s">
        <v>231</v>
      </c>
      <c r="B217" t="s">
        <v>12</v>
      </c>
      <c r="C217">
        <v>1</v>
      </c>
      <c r="D217">
        <v>1</v>
      </c>
      <c r="E217">
        <v>4</v>
      </c>
    </row>
    <row r="218" spans="1:5" x14ac:dyDescent="0.2">
      <c r="A218" t="s">
        <v>232</v>
      </c>
      <c r="B218" t="s">
        <v>6</v>
      </c>
      <c r="C218">
        <v>1</v>
      </c>
      <c r="D218">
        <v>1</v>
      </c>
      <c r="E218">
        <v>5</v>
      </c>
    </row>
    <row r="219" spans="1:5" x14ac:dyDescent="0.2">
      <c r="A219" t="s">
        <v>233</v>
      </c>
      <c r="B219" t="s">
        <v>21</v>
      </c>
      <c r="C219">
        <v>1</v>
      </c>
      <c r="D219">
        <v>0</v>
      </c>
      <c r="E219">
        <v>5</v>
      </c>
    </row>
    <row r="220" spans="1:5" x14ac:dyDescent="0.2">
      <c r="A220" t="s">
        <v>234</v>
      </c>
      <c r="B220" t="s">
        <v>36</v>
      </c>
      <c r="C220">
        <v>0</v>
      </c>
      <c r="D220">
        <v>0</v>
      </c>
      <c r="E220">
        <v>3</v>
      </c>
    </row>
    <row r="221" spans="1:5" x14ac:dyDescent="0.2">
      <c r="A221" t="s">
        <v>235</v>
      </c>
      <c r="B221" t="s">
        <v>14</v>
      </c>
      <c r="C221">
        <v>0</v>
      </c>
      <c r="D221">
        <v>0</v>
      </c>
      <c r="E221">
        <v>1</v>
      </c>
    </row>
    <row r="222" spans="1:5" x14ac:dyDescent="0.2">
      <c r="A222" t="s">
        <v>236</v>
      </c>
      <c r="B222" t="s">
        <v>36</v>
      </c>
      <c r="C222">
        <v>1</v>
      </c>
      <c r="D222">
        <v>0</v>
      </c>
      <c r="E222">
        <v>2</v>
      </c>
    </row>
    <row r="223" spans="1:5" x14ac:dyDescent="0.2">
      <c r="A223" t="s">
        <v>237</v>
      </c>
      <c r="B223" t="s">
        <v>8</v>
      </c>
      <c r="C223">
        <v>0</v>
      </c>
      <c r="D223">
        <v>0</v>
      </c>
      <c r="E223">
        <v>4</v>
      </c>
    </row>
    <row r="224" spans="1:5" x14ac:dyDescent="0.2">
      <c r="A224" t="s">
        <v>238</v>
      </c>
      <c r="B224" t="s">
        <v>21</v>
      </c>
      <c r="C224">
        <v>0</v>
      </c>
      <c r="D224">
        <v>0</v>
      </c>
      <c r="E224">
        <v>3</v>
      </c>
    </row>
    <row r="225" spans="1:5" x14ac:dyDescent="0.2">
      <c r="A225" t="s">
        <v>239</v>
      </c>
      <c r="B225" t="s">
        <v>36</v>
      </c>
      <c r="C225">
        <v>0</v>
      </c>
      <c r="D225">
        <v>0</v>
      </c>
      <c r="E225">
        <v>4</v>
      </c>
    </row>
    <row r="226" spans="1:5" x14ac:dyDescent="0.2">
      <c r="A226" t="s">
        <v>240</v>
      </c>
      <c r="B226" t="s">
        <v>16</v>
      </c>
      <c r="C226">
        <v>0</v>
      </c>
      <c r="D226">
        <v>1</v>
      </c>
      <c r="E226">
        <v>1</v>
      </c>
    </row>
    <row r="227" spans="1:5" x14ac:dyDescent="0.2">
      <c r="A227" t="s">
        <v>241</v>
      </c>
      <c r="B227" t="s">
        <v>8</v>
      </c>
      <c r="C227">
        <v>1</v>
      </c>
      <c r="D227">
        <v>1</v>
      </c>
      <c r="E227">
        <v>3</v>
      </c>
    </row>
    <row r="228" spans="1:5" x14ac:dyDescent="0.2">
      <c r="A228" t="s">
        <v>242</v>
      </c>
      <c r="B228" t="s">
        <v>8</v>
      </c>
      <c r="C228">
        <v>0</v>
      </c>
      <c r="D228">
        <v>1</v>
      </c>
      <c r="E228">
        <v>5</v>
      </c>
    </row>
    <row r="229" spans="1:5" x14ac:dyDescent="0.2">
      <c r="A229" t="s">
        <v>243</v>
      </c>
      <c r="B229" t="s">
        <v>33</v>
      </c>
      <c r="C229">
        <v>1</v>
      </c>
      <c r="D229">
        <v>1</v>
      </c>
      <c r="E229">
        <v>1</v>
      </c>
    </row>
    <row r="230" spans="1:5" x14ac:dyDescent="0.2">
      <c r="A230" t="s">
        <v>244</v>
      </c>
      <c r="B230" t="s">
        <v>10</v>
      </c>
      <c r="C230">
        <v>0</v>
      </c>
      <c r="D230">
        <v>1</v>
      </c>
      <c r="E230">
        <v>5</v>
      </c>
    </row>
    <row r="231" spans="1:5" x14ac:dyDescent="0.2">
      <c r="A231" t="s">
        <v>245</v>
      </c>
      <c r="B231" t="s">
        <v>16</v>
      </c>
      <c r="C231">
        <v>0</v>
      </c>
      <c r="D231">
        <v>0</v>
      </c>
      <c r="E231">
        <v>3</v>
      </c>
    </row>
    <row r="232" spans="1:5" x14ac:dyDescent="0.2">
      <c r="A232" t="s">
        <v>246</v>
      </c>
      <c r="B232" t="s">
        <v>21</v>
      </c>
      <c r="C232">
        <v>0</v>
      </c>
      <c r="D232">
        <v>1</v>
      </c>
      <c r="E232">
        <v>3</v>
      </c>
    </row>
    <row r="233" spans="1:5" x14ac:dyDescent="0.2">
      <c r="A233" t="s">
        <v>247</v>
      </c>
      <c r="B233" t="s">
        <v>36</v>
      </c>
      <c r="C233">
        <v>1</v>
      </c>
      <c r="D233">
        <v>1</v>
      </c>
      <c r="E233">
        <v>1</v>
      </c>
    </row>
    <row r="234" spans="1:5" x14ac:dyDescent="0.2">
      <c r="A234" t="s">
        <v>248</v>
      </c>
      <c r="B234" t="s">
        <v>38</v>
      </c>
      <c r="C234">
        <v>1</v>
      </c>
      <c r="D234">
        <v>1</v>
      </c>
      <c r="E234">
        <v>4</v>
      </c>
    </row>
    <row r="235" spans="1:5" x14ac:dyDescent="0.2">
      <c r="A235" t="s">
        <v>249</v>
      </c>
      <c r="B235" t="s">
        <v>10</v>
      </c>
      <c r="C235">
        <v>0</v>
      </c>
      <c r="D235">
        <v>0</v>
      </c>
      <c r="E235">
        <v>4</v>
      </c>
    </row>
    <row r="236" spans="1:5" x14ac:dyDescent="0.2">
      <c r="A236" t="s">
        <v>250</v>
      </c>
      <c r="B236" t="s">
        <v>38</v>
      </c>
      <c r="C236">
        <v>0</v>
      </c>
      <c r="D236">
        <v>1</v>
      </c>
      <c r="E236">
        <v>4</v>
      </c>
    </row>
    <row r="237" spans="1:5" x14ac:dyDescent="0.2">
      <c r="A237" t="s">
        <v>251</v>
      </c>
      <c r="B237" t="s">
        <v>16</v>
      </c>
      <c r="C237">
        <v>0</v>
      </c>
      <c r="D237">
        <v>1</v>
      </c>
      <c r="E237">
        <v>5</v>
      </c>
    </row>
    <row r="238" spans="1:5" x14ac:dyDescent="0.2">
      <c r="A238" t="s">
        <v>252</v>
      </c>
      <c r="B238" t="s">
        <v>36</v>
      </c>
      <c r="C238">
        <v>1</v>
      </c>
      <c r="D238">
        <v>1</v>
      </c>
      <c r="E238">
        <v>1</v>
      </c>
    </row>
    <row r="239" spans="1:5" x14ac:dyDescent="0.2">
      <c r="A239" t="s">
        <v>253</v>
      </c>
      <c r="B239" t="s">
        <v>36</v>
      </c>
      <c r="C239">
        <v>1</v>
      </c>
      <c r="D239">
        <v>1</v>
      </c>
      <c r="E239">
        <v>1</v>
      </c>
    </row>
    <row r="240" spans="1:5" x14ac:dyDescent="0.2">
      <c r="A240" t="s">
        <v>254</v>
      </c>
      <c r="B240" t="s">
        <v>10</v>
      </c>
      <c r="C240">
        <v>0</v>
      </c>
      <c r="D240">
        <v>0</v>
      </c>
      <c r="E240">
        <v>5</v>
      </c>
    </row>
    <row r="241" spans="1:5" x14ac:dyDescent="0.2">
      <c r="A241" t="s">
        <v>255</v>
      </c>
      <c r="B241" t="s">
        <v>36</v>
      </c>
      <c r="C241">
        <v>0</v>
      </c>
      <c r="D241">
        <v>1</v>
      </c>
      <c r="E241">
        <v>3</v>
      </c>
    </row>
    <row r="242" spans="1:5" x14ac:dyDescent="0.2">
      <c r="A242" t="s">
        <v>256</v>
      </c>
      <c r="B242" t="s">
        <v>8</v>
      </c>
      <c r="C242">
        <v>1</v>
      </c>
      <c r="D242">
        <v>0</v>
      </c>
      <c r="E242">
        <v>5</v>
      </c>
    </row>
    <row r="243" spans="1:5" x14ac:dyDescent="0.2">
      <c r="A243" t="s">
        <v>257</v>
      </c>
      <c r="B243" t="s">
        <v>8</v>
      </c>
      <c r="C243">
        <v>0</v>
      </c>
      <c r="D243">
        <v>0</v>
      </c>
      <c r="E243">
        <v>2</v>
      </c>
    </row>
    <row r="244" spans="1:5" x14ac:dyDescent="0.2">
      <c r="A244" t="s">
        <v>258</v>
      </c>
      <c r="B244" t="s">
        <v>6</v>
      </c>
      <c r="C244">
        <v>1</v>
      </c>
      <c r="D244">
        <v>1</v>
      </c>
      <c r="E244">
        <v>5</v>
      </c>
    </row>
    <row r="245" spans="1:5" x14ac:dyDescent="0.2">
      <c r="A245" t="s">
        <v>259</v>
      </c>
      <c r="B245" t="s">
        <v>33</v>
      </c>
      <c r="C245">
        <v>1</v>
      </c>
      <c r="D245">
        <v>0</v>
      </c>
      <c r="E245">
        <v>2</v>
      </c>
    </row>
    <row r="246" spans="1:5" x14ac:dyDescent="0.2">
      <c r="A246" t="s">
        <v>260</v>
      </c>
      <c r="B246" t="s">
        <v>38</v>
      </c>
      <c r="C246">
        <v>0</v>
      </c>
      <c r="D246">
        <v>0</v>
      </c>
      <c r="E246">
        <v>1</v>
      </c>
    </row>
    <row r="247" spans="1:5" x14ac:dyDescent="0.2">
      <c r="A247" t="s">
        <v>261</v>
      </c>
      <c r="B247" t="s">
        <v>33</v>
      </c>
      <c r="C247">
        <v>1</v>
      </c>
      <c r="D247">
        <v>0</v>
      </c>
      <c r="E247">
        <v>2</v>
      </c>
    </row>
    <row r="248" spans="1:5" x14ac:dyDescent="0.2">
      <c r="A248" t="s">
        <v>262</v>
      </c>
      <c r="B248" t="s">
        <v>36</v>
      </c>
      <c r="C248">
        <v>1</v>
      </c>
      <c r="D248">
        <v>0</v>
      </c>
      <c r="E248">
        <v>3</v>
      </c>
    </row>
    <row r="249" spans="1:5" x14ac:dyDescent="0.2">
      <c r="A249" t="s">
        <v>263</v>
      </c>
      <c r="B249" t="s">
        <v>38</v>
      </c>
      <c r="C249">
        <v>0</v>
      </c>
      <c r="D249">
        <v>0</v>
      </c>
      <c r="E249">
        <v>1</v>
      </c>
    </row>
    <row r="250" spans="1:5" x14ac:dyDescent="0.2">
      <c r="A250" t="s">
        <v>264</v>
      </c>
      <c r="B250" t="s">
        <v>12</v>
      </c>
      <c r="C250">
        <v>1</v>
      </c>
      <c r="D250">
        <v>0</v>
      </c>
      <c r="E250">
        <v>4</v>
      </c>
    </row>
    <row r="251" spans="1:5" x14ac:dyDescent="0.2">
      <c r="A251" t="s">
        <v>265</v>
      </c>
      <c r="B251" t="s">
        <v>16</v>
      </c>
      <c r="C251">
        <v>1</v>
      </c>
      <c r="D251">
        <v>1</v>
      </c>
      <c r="E251">
        <v>2</v>
      </c>
    </row>
    <row r="252" spans="1:5" x14ac:dyDescent="0.2">
      <c r="A252" t="s">
        <v>266</v>
      </c>
      <c r="B252" t="s">
        <v>12</v>
      </c>
      <c r="C252">
        <v>0</v>
      </c>
      <c r="D252">
        <v>1</v>
      </c>
      <c r="E252">
        <v>1</v>
      </c>
    </row>
    <row r="253" spans="1:5" x14ac:dyDescent="0.2">
      <c r="A253" t="s">
        <v>267</v>
      </c>
      <c r="B253" t="s">
        <v>33</v>
      </c>
      <c r="C253">
        <v>1</v>
      </c>
      <c r="D253">
        <v>0</v>
      </c>
      <c r="E253">
        <v>4</v>
      </c>
    </row>
    <row r="254" spans="1:5" x14ac:dyDescent="0.2">
      <c r="A254" t="s">
        <v>268</v>
      </c>
      <c r="B254" t="s">
        <v>8</v>
      </c>
      <c r="C254">
        <v>0</v>
      </c>
      <c r="D254">
        <v>1</v>
      </c>
      <c r="E254">
        <v>2</v>
      </c>
    </row>
    <row r="255" spans="1:5" x14ac:dyDescent="0.2">
      <c r="A255" t="s">
        <v>269</v>
      </c>
      <c r="B255" t="s">
        <v>36</v>
      </c>
      <c r="C255">
        <v>1</v>
      </c>
      <c r="D255">
        <v>0</v>
      </c>
      <c r="E255">
        <v>2</v>
      </c>
    </row>
    <row r="256" spans="1:5" x14ac:dyDescent="0.2">
      <c r="A256" t="s">
        <v>270</v>
      </c>
      <c r="B256" t="s">
        <v>21</v>
      </c>
      <c r="C256">
        <v>0</v>
      </c>
      <c r="D256">
        <v>1</v>
      </c>
      <c r="E256">
        <v>2</v>
      </c>
    </row>
    <row r="257" spans="1:5" x14ac:dyDescent="0.2">
      <c r="A257" t="s">
        <v>271</v>
      </c>
      <c r="B257" t="s">
        <v>36</v>
      </c>
      <c r="C257">
        <v>1</v>
      </c>
      <c r="D257">
        <v>1</v>
      </c>
      <c r="E257">
        <v>1</v>
      </c>
    </row>
    <row r="258" spans="1:5" x14ac:dyDescent="0.2">
      <c r="A258" t="s">
        <v>272</v>
      </c>
      <c r="B258" t="s">
        <v>6</v>
      </c>
      <c r="C258">
        <v>0</v>
      </c>
      <c r="D258">
        <v>0</v>
      </c>
      <c r="E258">
        <v>5</v>
      </c>
    </row>
    <row r="259" spans="1:5" x14ac:dyDescent="0.2">
      <c r="A259" t="s">
        <v>273</v>
      </c>
      <c r="B259" t="s">
        <v>36</v>
      </c>
      <c r="C259">
        <v>0</v>
      </c>
      <c r="D259">
        <v>0</v>
      </c>
      <c r="E259">
        <v>1</v>
      </c>
    </row>
    <row r="260" spans="1:5" x14ac:dyDescent="0.2">
      <c r="A260" t="s">
        <v>274</v>
      </c>
      <c r="B260" t="s">
        <v>21</v>
      </c>
      <c r="C260">
        <v>1</v>
      </c>
      <c r="D260">
        <v>0</v>
      </c>
      <c r="E260">
        <v>4</v>
      </c>
    </row>
    <row r="261" spans="1:5" x14ac:dyDescent="0.2">
      <c r="A261" t="s">
        <v>275</v>
      </c>
      <c r="B261" t="s">
        <v>6</v>
      </c>
      <c r="C261">
        <v>0</v>
      </c>
      <c r="D261">
        <v>1</v>
      </c>
      <c r="E261">
        <v>1</v>
      </c>
    </row>
    <row r="262" spans="1:5" x14ac:dyDescent="0.2">
      <c r="A262" t="s">
        <v>276</v>
      </c>
      <c r="B262" t="s">
        <v>21</v>
      </c>
      <c r="C262">
        <v>1</v>
      </c>
      <c r="D262">
        <v>1</v>
      </c>
      <c r="E262">
        <v>4</v>
      </c>
    </row>
    <row r="263" spans="1:5" x14ac:dyDescent="0.2">
      <c r="A263" t="s">
        <v>277</v>
      </c>
      <c r="B263" t="s">
        <v>38</v>
      </c>
      <c r="C263">
        <v>0</v>
      </c>
      <c r="D263">
        <v>1</v>
      </c>
      <c r="E263">
        <v>4</v>
      </c>
    </row>
    <row r="264" spans="1:5" x14ac:dyDescent="0.2">
      <c r="A264" t="s">
        <v>278</v>
      </c>
      <c r="B264" t="s">
        <v>14</v>
      </c>
      <c r="C264">
        <v>1</v>
      </c>
      <c r="D264">
        <v>1</v>
      </c>
      <c r="E264">
        <v>5</v>
      </c>
    </row>
    <row r="265" spans="1:5" x14ac:dyDescent="0.2">
      <c r="A265" t="s">
        <v>279</v>
      </c>
      <c r="B265" t="s">
        <v>36</v>
      </c>
      <c r="C265">
        <v>0</v>
      </c>
      <c r="D265">
        <v>1</v>
      </c>
      <c r="E265">
        <v>4</v>
      </c>
    </row>
    <row r="266" spans="1:5" x14ac:dyDescent="0.2">
      <c r="A266" t="s">
        <v>280</v>
      </c>
      <c r="B266" t="s">
        <v>6</v>
      </c>
      <c r="C266">
        <v>1</v>
      </c>
      <c r="D266">
        <v>0</v>
      </c>
      <c r="E266">
        <v>3</v>
      </c>
    </row>
    <row r="267" spans="1:5" x14ac:dyDescent="0.2">
      <c r="A267" t="s">
        <v>281</v>
      </c>
      <c r="B267" t="s">
        <v>21</v>
      </c>
      <c r="C267">
        <v>0</v>
      </c>
      <c r="D267">
        <v>1</v>
      </c>
      <c r="E267">
        <v>5</v>
      </c>
    </row>
    <row r="268" spans="1:5" x14ac:dyDescent="0.2">
      <c r="A268" t="s">
        <v>282</v>
      </c>
      <c r="B268" t="s">
        <v>6</v>
      </c>
      <c r="C268">
        <v>0</v>
      </c>
      <c r="D268">
        <v>1</v>
      </c>
      <c r="E268">
        <v>4</v>
      </c>
    </row>
    <row r="269" spans="1:5" x14ac:dyDescent="0.2">
      <c r="A269" t="s">
        <v>283</v>
      </c>
      <c r="B269" t="s">
        <v>16</v>
      </c>
      <c r="C269">
        <v>0</v>
      </c>
      <c r="D269">
        <v>0</v>
      </c>
      <c r="E269">
        <v>3</v>
      </c>
    </row>
    <row r="270" spans="1:5" x14ac:dyDescent="0.2">
      <c r="A270" t="s">
        <v>284</v>
      </c>
      <c r="B270" t="s">
        <v>6</v>
      </c>
      <c r="C270">
        <v>1</v>
      </c>
      <c r="D270">
        <v>1</v>
      </c>
      <c r="E270">
        <v>4</v>
      </c>
    </row>
    <row r="271" spans="1:5" x14ac:dyDescent="0.2">
      <c r="A271" t="s">
        <v>285</v>
      </c>
      <c r="B271" t="s">
        <v>14</v>
      </c>
      <c r="C271">
        <v>0</v>
      </c>
      <c r="D271">
        <v>0</v>
      </c>
      <c r="E271">
        <v>4</v>
      </c>
    </row>
    <row r="272" spans="1:5" x14ac:dyDescent="0.2">
      <c r="A272" t="s">
        <v>286</v>
      </c>
      <c r="B272" t="s">
        <v>14</v>
      </c>
      <c r="C272">
        <v>1</v>
      </c>
      <c r="D272">
        <v>1</v>
      </c>
      <c r="E272">
        <v>1</v>
      </c>
    </row>
    <row r="273" spans="1:5" x14ac:dyDescent="0.2">
      <c r="A273" t="s">
        <v>287</v>
      </c>
      <c r="B273" t="s">
        <v>38</v>
      </c>
      <c r="C273">
        <v>0</v>
      </c>
      <c r="D273">
        <v>0</v>
      </c>
      <c r="E273">
        <v>1</v>
      </c>
    </row>
    <row r="274" spans="1:5" x14ac:dyDescent="0.2">
      <c r="A274" t="s">
        <v>288</v>
      </c>
      <c r="B274" t="s">
        <v>38</v>
      </c>
      <c r="C274">
        <v>1</v>
      </c>
      <c r="D274">
        <v>0</v>
      </c>
      <c r="E274">
        <v>2</v>
      </c>
    </row>
    <row r="275" spans="1:5" x14ac:dyDescent="0.2">
      <c r="A275" t="s">
        <v>289</v>
      </c>
      <c r="B275" t="s">
        <v>8</v>
      </c>
      <c r="C275">
        <v>0</v>
      </c>
      <c r="D275">
        <v>1</v>
      </c>
      <c r="E275">
        <v>3</v>
      </c>
    </row>
    <row r="276" spans="1:5" x14ac:dyDescent="0.2">
      <c r="A276" t="s">
        <v>290</v>
      </c>
      <c r="B276" t="s">
        <v>14</v>
      </c>
      <c r="C276">
        <v>0</v>
      </c>
      <c r="D276">
        <v>0</v>
      </c>
      <c r="E276">
        <v>3</v>
      </c>
    </row>
    <row r="277" spans="1:5" x14ac:dyDescent="0.2">
      <c r="A277" t="s">
        <v>291</v>
      </c>
      <c r="B277" t="s">
        <v>16</v>
      </c>
      <c r="C277">
        <v>1</v>
      </c>
      <c r="D277">
        <v>1</v>
      </c>
      <c r="E277">
        <v>2</v>
      </c>
    </row>
    <row r="278" spans="1:5" x14ac:dyDescent="0.2">
      <c r="A278" t="s">
        <v>292</v>
      </c>
      <c r="B278" t="s">
        <v>33</v>
      </c>
      <c r="C278">
        <v>1</v>
      </c>
      <c r="D278">
        <v>0</v>
      </c>
      <c r="E278">
        <v>3</v>
      </c>
    </row>
    <row r="279" spans="1:5" x14ac:dyDescent="0.2">
      <c r="A279" t="s">
        <v>293</v>
      </c>
      <c r="B279" t="s">
        <v>125</v>
      </c>
      <c r="C279">
        <v>1</v>
      </c>
      <c r="D279">
        <v>1</v>
      </c>
      <c r="E279">
        <v>1</v>
      </c>
    </row>
    <row r="280" spans="1:5" x14ac:dyDescent="0.2">
      <c r="A280" t="s">
        <v>294</v>
      </c>
      <c r="B280" t="s">
        <v>38</v>
      </c>
      <c r="C280">
        <v>0</v>
      </c>
      <c r="D280">
        <v>0</v>
      </c>
      <c r="E280">
        <v>5</v>
      </c>
    </row>
    <row r="281" spans="1:5" x14ac:dyDescent="0.2">
      <c r="A281" t="s">
        <v>295</v>
      </c>
      <c r="B281" t="s">
        <v>8</v>
      </c>
      <c r="C281">
        <v>1</v>
      </c>
      <c r="D281">
        <v>1</v>
      </c>
      <c r="E281">
        <v>3</v>
      </c>
    </row>
    <row r="282" spans="1:5" x14ac:dyDescent="0.2">
      <c r="A282" t="s">
        <v>296</v>
      </c>
      <c r="B282" t="s">
        <v>16</v>
      </c>
      <c r="C282">
        <v>0</v>
      </c>
      <c r="D282">
        <v>1</v>
      </c>
      <c r="E282">
        <v>3</v>
      </c>
    </row>
    <row r="283" spans="1:5" x14ac:dyDescent="0.2">
      <c r="A283" t="s">
        <v>297</v>
      </c>
      <c r="B283" t="s">
        <v>33</v>
      </c>
      <c r="C283">
        <v>0</v>
      </c>
      <c r="D283">
        <v>1</v>
      </c>
      <c r="E283">
        <v>4</v>
      </c>
    </row>
    <row r="284" spans="1:5" x14ac:dyDescent="0.2">
      <c r="A284" t="s">
        <v>298</v>
      </c>
      <c r="B284" t="s">
        <v>16</v>
      </c>
      <c r="C284">
        <v>0</v>
      </c>
      <c r="D284">
        <v>0</v>
      </c>
      <c r="E284">
        <v>3</v>
      </c>
    </row>
    <row r="285" spans="1:5" x14ac:dyDescent="0.2">
      <c r="A285" t="s">
        <v>299</v>
      </c>
      <c r="B285" t="s">
        <v>8</v>
      </c>
      <c r="C285">
        <v>0</v>
      </c>
      <c r="D285">
        <v>1</v>
      </c>
      <c r="E285">
        <v>1</v>
      </c>
    </row>
    <row r="286" spans="1:5" x14ac:dyDescent="0.2">
      <c r="A286" t="s">
        <v>300</v>
      </c>
      <c r="B286" t="s">
        <v>16</v>
      </c>
      <c r="C286">
        <v>1</v>
      </c>
      <c r="D286">
        <v>1</v>
      </c>
      <c r="E286">
        <v>3</v>
      </c>
    </row>
    <row r="287" spans="1:5" x14ac:dyDescent="0.2">
      <c r="A287" t="s">
        <v>301</v>
      </c>
      <c r="B287" t="s">
        <v>8</v>
      </c>
      <c r="C287">
        <v>0</v>
      </c>
      <c r="D287">
        <v>1</v>
      </c>
      <c r="E287">
        <v>3</v>
      </c>
    </row>
    <row r="288" spans="1:5" x14ac:dyDescent="0.2">
      <c r="A288" t="s">
        <v>302</v>
      </c>
      <c r="B288" t="s">
        <v>36</v>
      </c>
      <c r="C288">
        <v>1</v>
      </c>
      <c r="D288">
        <v>0</v>
      </c>
      <c r="E288">
        <v>2</v>
      </c>
    </row>
    <row r="289" spans="1:5" x14ac:dyDescent="0.2">
      <c r="A289" t="s">
        <v>303</v>
      </c>
      <c r="B289" t="s">
        <v>33</v>
      </c>
      <c r="C289">
        <v>0</v>
      </c>
      <c r="D289">
        <v>0</v>
      </c>
      <c r="E289">
        <v>2</v>
      </c>
    </row>
    <row r="290" spans="1:5" x14ac:dyDescent="0.2">
      <c r="A290" t="s">
        <v>304</v>
      </c>
      <c r="B290" t="s">
        <v>14</v>
      </c>
      <c r="C290">
        <v>1</v>
      </c>
      <c r="D290">
        <v>0</v>
      </c>
      <c r="E290">
        <v>4</v>
      </c>
    </row>
    <row r="291" spans="1:5" x14ac:dyDescent="0.2">
      <c r="A291" t="s">
        <v>305</v>
      </c>
      <c r="B291" t="s">
        <v>36</v>
      </c>
      <c r="C291">
        <v>1</v>
      </c>
      <c r="D291">
        <v>1</v>
      </c>
      <c r="E291">
        <v>4</v>
      </c>
    </row>
    <row r="292" spans="1:5" x14ac:dyDescent="0.2">
      <c r="A292" t="s">
        <v>306</v>
      </c>
      <c r="B292" t="s">
        <v>21</v>
      </c>
      <c r="C292">
        <v>0</v>
      </c>
      <c r="D292">
        <v>0</v>
      </c>
      <c r="E292">
        <v>1</v>
      </c>
    </row>
    <row r="293" spans="1:5" x14ac:dyDescent="0.2">
      <c r="A293" t="s">
        <v>307</v>
      </c>
      <c r="B293" t="s">
        <v>38</v>
      </c>
      <c r="C293">
        <v>1</v>
      </c>
      <c r="D293">
        <v>1</v>
      </c>
      <c r="E293">
        <v>4</v>
      </c>
    </row>
    <row r="294" spans="1:5" x14ac:dyDescent="0.2">
      <c r="A294" t="s">
        <v>308</v>
      </c>
      <c r="B294" t="s">
        <v>16</v>
      </c>
      <c r="C294">
        <v>0</v>
      </c>
      <c r="D294">
        <v>1</v>
      </c>
      <c r="E294">
        <v>2</v>
      </c>
    </row>
    <row r="295" spans="1:5" x14ac:dyDescent="0.2">
      <c r="A295" t="s">
        <v>309</v>
      </c>
      <c r="B295" t="s">
        <v>36</v>
      </c>
      <c r="C295">
        <v>0</v>
      </c>
      <c r="D295">
        <v>1</v>
      </c>
      <c r="E295">
        <v>2</v>
      </c>
    </row>
    <row r="296" spans="1:5" x14ac:dyDescent="0.2">
      <c r="A296" t="s">
        <v>310</v>
      </c>
      <c r="B296" t="s">
        <v>10</v>
      </c>
      <c r="C296">
        <v>0</v>
      </c>
      <c r="D296">
        <v>1</v>
      </c>
      <c r="E296">
        <v>2</v>
      </c>
    </row>
    <row r="297" spans="1:5" x14ac:dyDescent="0.2">
      <c r="A297" t="s">
        <v>311</v>
      </c>
      <c r="B297" t="s">
        <v>21</v>
      </c>
      <c r="C297">
        <v>1</v>
      </c>
      <c r="D297">
        <v>1</v>
      </c>
      <c r="E297">
        <v>4</v>
      </c>
    </row>
    <row r="298" spans="1:5" x14ac:dyDescent="0.2">
      <c r="A298" t="s">
        <v>312</v>
      </c>
      <c r="B298" t="s">
        <v>14</v>
      </c>
      <c r="C298">
        <v>1</v>
      </c>
      <c r="D298">
        <v>1</v>
      </c>
      <c r="E298">
        <v>1</v>
      </c>
    </row>
    <row r="299" spans="1:5" x14ac:dyDescent="0.2">
      <c r="A299" t="s">
        <v>313</v>
      </c>
      <c r="B299" t="s">
        <v>38</v>
      </c>
      <c r="C299">
        <v>1</v>
      </c>
      <c r="D299">
        <v>0</v>
      </c>
      <c r="E299">
        <v>5</v>
      </c>
    </row>
    <row r="300" spans="1:5" x14ac:dyDescent="0.2">
      <c r="A300" t="s">
        <v>314</v>
      </c>
      <c r="B300" t="s">
        <v>16</v>
      </c>
      <c r="C300">
        <v>1</v>
      </c>
      <c r="D300">
        <v>1</v>
      </c>
      <c r="E300">
        <v>5</v>
      </c>
    </row>
    <row r="301" spans="1:5" x14ac:dyDescent="0.2">
      <c r="A301" t="s">
        <v>315</v>
      </c>
      <c r="B301" t="s">
        <v>10</v>
      </c>
      <c r="C301">
        <v>1</v>
      </c>
      <c r="D301">
        <v>1</v>
      </c>
      <c r="E301">
        <v>3</v>
      </c>
    </row>
    <row r="302" spans="1:5" x14ac:dyDescent="0.2">
      <c r="A302" t="s">
        <v>316</v>
      </c>
      <c r="B302" t="s">
        <v>14</v>
      </c>
      <c r="C302">
        <v>1</v>
      </c>
      <c r="D302">
        <v>1</v>
      </c>
      <c r="E302">
        <v>5</v>
      </c>
    </row>
    <row r="303" spans="1:5" x14ac:dyDescent="0.2">
      <c r="A303" t="s">
        <v>317</v>
      </c>
      <c r="B303" t="s">
        <v>8</v>
      </c>
      <c r="C303">
        <v>1</v>
      </c>
      <c r="D303">
        <v>1</v>
      </c>
      <c r="E303">
        <v>3</v>
      </c>
    </row>
    <row r="304" spans="1:5" x14ac:dyDescent="0.2">
      <c r="A304" t="s">
        <v>318</v>
      </c>
      <c r="B304" t="s">
        <v>12</v>
      </c>
      <c r="C304">
        <v>0</v>
      </c>
      <c r="D304">
        <v>0</v>
      </c>
      <c r="E304">
        <v>2</v>
      </c>
    </row>
    <row r="305" spans="1:5" x14ac:dyDescent="0.2">
      <c r="A305" t="s">
        <v>319</v>
      </c>
      <c r="B305" t="s">
        <v>6</v>
      </c>
      <c r="C305">
        <v>0</v>
      </c>
      <c r="D305">
        <v>1</v>
      </c>
      <c r="E305">
        <v>5</v>
      </c>
    </row>
    <row r="306" spans="1:5" x14ac:dyDescent="0.2">
      <c r="A306" t="s">
        <v>320</v>
      </c>
      <c r="B306" t="s">
        <v>38</v>
      </c>
      <c r="C306">
        <v>1</v>
      </c>
      <c r="D306">
        <v>0</v>
      </c>
      <c r="E306">
        <v>1</v>
      </c>
    </row>
    <row r="307" spans="1:5" x14ac:dyDescent="0.2">
      <c r="A307" t="s">
        <v>321</v>
      </c>
      <c r="B307" t="s">
        <v>36</v>
      </c>
      <c r="C307">
        <v>0</v>
      </c>
      <c r="D307">
        <v>0</v>
      </c>
      <c r="E307">
        <v>2</v>
      </c>
    </row>
    <row r="308" spans="1:5" x14ac:dyDescent="0.2">
      <c r="A308" t="s">
        <v>322</v>
      </c>
      <c r="B308" t="s">
        <v>16</v>
      </c>
      <c r="C308">
        <v>0</v>
      </c>
      <c r="D308">
        <v>1</v>
      </c>
      <c r="E308">
        <v>1</v>
      </c>
    </row>
    <row r="309" spans="1:5" x14ac:dyDescent="0.2">
      <c r="A309" t="s">
        <v>323</v>
      </c>
      <c r="B309" t="s">
        <v>38</v>
      </c>
      <c r="C309">
        <v>0</v>
      </c>
      <c r="D309">
        <v>0</v>
      </c>
      <c r="E309">
        <v>4</v>
      </c>
    </row>
    <row r="310" spans="1:5" x14ac:dyDescent="0.2">
      <c r="A310" t="s">
        <v>324</v>
      </c>
      <c r="B310" t="s">
        <v>21</v>
      </c>
      <c r="C310">
        <v>0</v>
      </c>
      <c r="D310">
        <v>1</v>
      </c>
      <c r="E310">
        <v>2</v>
      </c>
    </row>
    <row r="311" spans="1:5" x14ac:dyDescent="0.2">
      <c r="A311" t="s">
        <v>325</v>
      </c>
      <c r="B311" t="s">
        <v>38</v>
      </c>
      <c r="C311">
        <v>0</v>
      </c>
      <c r="D311">
        <v>0</v>
      </c>
      <c r="E311">
        <v>1</v>
      </c>
    </row>
    <row r="312" spans="1:5" x14ac:dyDescent="0.2">
      <c r="A312" t="s">
        <v>326</v>
      </c>
      <c r="B312" t="s">
        <v>125</v>
      </c>
      <c r="C312">
        <v>1</v>
      </c>
      <c r="D312">
        <v>0</v>
      </c>
      <c r="E312">
        <v>1</v>
      </c>
    </row>
    <row r="313" spans="1:5" x14ac:dyDescent="0.2">
      <c r="A313" t="s">
        <v>327</v>
      </c>
      <c r="B313" t="s">
        <v>21</v>
      </c>
      <c r="C313">
        <v>0</v>
      </c>
      <c r="D313">
        <v>1</v>
      </c>
      <c r="E313">
        <v>4</v>
      </c>
    </row>
    <row r="314" spans="1:5" x14ac:dyDescent="0.2">
      <c r="A314" t="s">
        <v>328</v>
      </c>
      <c r="B314" t="s">
        <v>38</v>
      </c>
      <c r="C314">
        <v>0</v>
      </c>
      <c r="D314">
        <v>1</v>
      </c>
      <c r="E314">
        <v>3</v>
      </c>
    </row>
    <row r="315" spans="1:5" x14ac:dyDescent="0.2">
      <c r="A315" t="s">
        <v>329</v>
      </c>
      <c r="B315" t="s">
        <v>16</v>
      </c>
      <c r="C315">
        <v>0</v>
      </c>
      <c r="D315">
        <v>0</v>
      </c>
      <c r="E315">
        <v>2</v>
      </c>
    </row>
    <row r="316" spans="1:5" x14ac:dyDescent="0.2">
      <c r="A316" t="s">
        <v>330</v>
      </c>
      <c r="B316" t="s">
        <v>33</v>
      </c>
      <c r="C316">
        <v>1</v>
      </c>
      <c r="D316">
        <v>0</v>
      </c>
      <c r="E316">
        <v>4</v>
      </c>
    </row>
    <row r="317" spans="1:5" x14ac:dyDescent="0.2">
      <c r="A317" t="s">
        <v>331</v>
      </c>
      <c r="B317" t="s">
        <v>14</v>
      </c>
      <c r="C317">
        <v>0</v>
      </c>
      <c r="D317">
        <v>0</v>
      </c>
      <c r="E317">
        <v>4</v>
      </c>
    </row>
    <row r="318" spans="1:5" x14ac:dyDescent="0.2">
      <c r="A318" t="s">
        <v>332</v>
      </c>
      <c r="B318" t="s">
        <v>6</v>
      </c>
      <c r="C318">
        <v>0</v>
      </c>
      <c r="D318">
        <v>0</v>
      </c>
      <c r="E318">
        <v>5</v>
      </c>
    </row>
    <row r="319" spans="1:5" x14ac:dyDescent="0.2">
      <c r="A319" t="s">
        <v>333</v>
      </c>
      <c r="B319" t="s">
        <v>38</v>
      </c>
      <c r="C319">
        <v>1</v>
      </c>
      <c r="D319">
        <v>0</v>
      </c>
      <c r="E319">
        <v>3</v>
      </c>
    </row>
    <row r="320" spans="1:5" x14ac:dyDescent="0.2">
      <c r="A320" t="s">
        <v>334</v>
      </c>
      <c r="B320" t="s">
        <v>12</v>
      </c>
      <c r="C320">
        <v>0</v>
      </c>
      <c r="D320">
        <v>0</v>
      </c>
      <c r="E320">
        <v>1</v>
      </c>
    </row>
    <row r="321" spans="1:5" x14ac:dyDescent="0.2">
      <c r="A321" t="s">
        <v>335</v>
      </c>
      <c r="B321" t="s">
        <v>36</v>
      </c>
      <c r="C321">
        <v>0</v>
      </c>
      <c r="D321">
        <v>1</v>
      </c>
      <c r="E321">
        <v>1</v>
      </c>
    </row>
    <row r="322" spans="1:5" x14ac:dyDescent="0.2">
      <c r="A322" t="s">
        <v>336</v>
      </c>
      <c r="B322" t="s">
        <v>16</v>
      </c>
      <c r="C322">
        <v>1</v>
      </c>
      <c r="D322">
        <v>0</v>
      </c>
      <c r="E322">
        <v>2</v>
      </c>
    </row>
    <row r="323" spans="1:5" x14ac:dyDescent="0.2">
      <c r="A323" t="s">
        <v>337</v>
      </c>
      <c r="B323" t="s">
        <v>33</v>
      </c>
      <c r="C323">
        <v>0</v>
      </c>
      <c r="D323">
        <v>1</v>
      </c>
      <c r="E323">
        <v>4</v>
      </c>
    </row>
    <row r="324" spans="1:5" x14ac:dyDescent="0.2">
      <c r="A324" t="s">
        <v>338</v>
      </c>
      <c r="B324" t="s">
        <v>36</v>
      </c>
      <c r="C324">
        <v>1</v>
      </c>
      <c r="D324">
        <v>0</v>
      </c>
      <c r="E324">
        <v>3</v>
      </c>
    </row>
    <row r="325" spans="1:5" x14ac:dyDescent="0.2">
      <c r="A325" t="s">
        <v>339</v>
      </c>
      <c r="B325" t="s">
        <v>8</v>
      </c>
      <c r="C325">
        <v>1</v>
      </c>
      <c r="D325">
        <v>1</v>
      </c>
      <c r="E325">
        <v>5</v>
      </c>
    </row>
    <row r="326" spans="1:5" x14ac:dyDescent="0.2">
      <c r="A326" t="s">
        <v>340</v>
      </c>
      <c r="B326" t="s">
        <v>33</v>
      </c>
      <c r="C326">
        <v>0</v>
      </c>
      <c r="D326">
        <v>1</v>
      </c>
      <c r="E326">
        <v>2</v>
      </c>
    </row>
    <row r="327" spans="1:5" x14ac:dyDescent="0.2">
      <c r="A327" t="s">
        <v>341</v>
      </c>
      <c r="B327" t="s">
        <v>38</v>
      </c>
      <c r="C327">
        <v>1</v>
      </c>
      <c r="D327">
        <v>0</v>
      </c>
      <c r="E327">
        <v>1</v>
      </c>
    </row>
    <row r="328" spans="1:5" x14ac:dyDescent="0.2">
      <c r="A328" t="s">
        <v>342</v>
      </c>
      <c r="B328" t="s">
        <v>36</v>
      </c>
      <c r="C328">
        <v>1</v>
      </c>
      <c r="D328">
        <v>1</v>
      </c>
      <c r="E328">
        <v>5</v>
      </c>
    </row>
    <row r="329" spans="1:5" x14ac:dyDescent="0.2">
      <c r="A329" t="s">
        <v>343</v>
      </c>
      <c r="B329" t="s">
        <v>14</v>
      </c>
      <c r="C329">
        <v>0</v>
      </c>
      <c r="D329">
        <v>1</v>
      </c>
      <c r="E329">
        <v>2</v>
      </c>
    </row>
    <row r="330" spans="1:5" x14ac:dyDescent="0.2">
      <c r="A330" t="s">
        <v>344</v>
      </c>
      <c r="B330" t="s">
        <v>21</v>
      </c>
      <c r="C330">
        <v>1</v>
      </c>
      <c r="D330">
        <v>0</v>
      </c>
      <c r="E330">
        <v>4</v>
      </c>
    </row>
    <row r="331" spans="1:5" x14ac:dyDescent="0.2">
      <c r="A331" t="s">
        <v>345</v>
      </c>
      <c r="B331" t="s">
        <v>6</v>
      </c>
      <c r="C331">
        <v>0</v>
      </c>
      <c r="D331">
        <v>1</v>
      </c>
      <c r="E331">
        <v>3</v>
      </c>
    </row>
    <row r="332" spans="1:5" x14ac:dyDescent="0.2">
      <c r="A332" t="s">
        <v>346</v>
      </c>
      <c r="B332" t="s">
        <v>12</v>
      </c>
      <c r="C332">
        <v>1</v>
      </c>
      <c r="D332">
        <v>0</v>
      </c>
      <c r="E332">
        <v>2</v>
      </c>
    </row>
    <row r="333" spans="1:5" x14ac:dyDescent="0.2">
      <c r="A333" t="s">
        <v>347</v>
      </c>
      <c r="B333" t="s">
        <v>12</v>
      </c>
      <c r="C333">
        <v>0</v>
      </c>
      <c r="D333">
        <v>0</v>
      </c>
      <c r="E333">
        <v>1</v>
      </c>
    </row>
    <row r="334" spans="1:5" x14ac:dyDescent="0.2">
      <c r="A334" t="s">
        <v>348</v>
      </c>
      <c r="B334" t="s">
        <v>33</v>
      </c>
      <c r="C334">
        <v>0</v>
      </c>
      <c r="D334">
        <v>1</v>
      </c>
      <c r="E334">
        <v>1</v>
      </c>
    </row>
    <row r="335" spans="1:5" x14ac:dyDescent="0.2">
      <c r="A335" t="s">
        <v>349</v>
      </c>
      <c r="B335" t="s">
        <v>21</v>
      </c>
      <c r="C335">
        <v>0</v>
      </c>
      <c r="D335">
        <v>0</v>
      </c>
      <c r="E335">
        <v>2</v>
      </c>
    </row>
    <row r="336" spans="1:5" x14ac:dyDescent="0.2">
      <c r="A336" t="s">
        <v>350</v>
      </c>
      <c r="B336" t="s">
        <v>6</v>
      </c>
      <c r="C336">
        <v>1</v>
      </c>
      <c r="D336">
        <v>1</v>
      </c>
      <c r="E336">
        <v>1</v>
      </c>
    </row>
    <row r="337" spans="1:5" x14ac:dyDescent="0.2">
      <c r="A337" t="s">
        <v>351</v>
      </c>
      <c r="B337" t="s">
        <v>38</v>
      </c>
      <c r="C337">
        <v>0</v>
      </c>
      <c r="D337">
        <v>1</v>
      </c>
      <c r="E337">
        <v>3</v>
      </c>
    </row>
    <row r="338" spans="1:5" x14ac:dyDescent="0.2">
      <c r="A338" t="s">
        <v>352</v>
      </c>
      <c r="B338" t="s">
        <v>12</v>
      </c>
      <c r="C338">
        <v>1</v>
      </c>
      <c r="D338">
        <v>1</v>
      </c>
      <c r="E338">
        <v>2</v>
      </c>
    </row>
    <row r="339" spans="1:5" x14ac:dyDescent="0.2">
      <c r="A339" t="s">
        <v>353</v>
      </c>
      <c r="B339" t="s">
        <v>10</v>
      </c>
      <c r="C339">
        <v>1</v>
      </c>
      <c r="D339">
        <v>1</v>
      </c>
      <c r="E339">
        <v>5</v>
      </c>
    </row>
    <row r="340" spans="1:5" x14ac:dyDescent="0.2">
      <c r="A340" t="s">
        <v>354</v>
      </c>
      <c r="B340" t="s">
        <v>38</v>
      </c>
      <c r="C340">
        <v>0</v>
      </c>
      <c r="D340">
        <v>0</v>
      </c>
      <c r="E340">
        <v>4</v>
      </c>
    </row>
    <row r="341" spans="1:5" x14ac:dyDescent="0.2">
      <c r="A341" t="s">
        <v>355</v>
      </c>
      <c r="B341" t="s">
        <v>12</v>
      </c>
      <c r="C341">
        <v>1</v>
      </c>
      <c r="D341">
        <v>1</v>
      </c>
      <c r="E341">
        <v>5</v>
      </c>
    </row>
    <row r="342" spans="1:5" x14ac:dyDescent="0.2">
      <c r="A342" t="s">
        <v>356</v>
      </c>
      <c r="B342" t="s">
        <v>6</v>
      </c>
      <c r="C342">
        <v>1</v>
      </c>
      <c r="D342">
        <v>1</v>
      </c>
      <c r="E342">
        <v>5</v>
      </c>
    </row>
    <row r="343" spans="1:5" x14ac:dyDescent="0.2">
      <c r="A343" t="s">
        <v>357</v>
      </c>
      <c r="B343" t="s">
        <v>16</v>
      </c>
      <c r="C343">
        <v>1</v>
      </c>
      <c r="D343">
        <v>1</v>
      </c>
      <c r="E343">
        <v>4</v>
      </c>
    </row>
    <row r="344" spans="1:5" x14ac:dyDescent="0.2">
      <c r="A344" t="s">
        <v>358</v>
      </c>
      <c r="B344" t="s">
        <v>12</v>
      </c>
      <c r="C344">
        <v>1</v>
      </c>
      <c r="D344">
        <v>1</v>
      </c>
      <c r="E344">
        <v>2</v>
      </c>
    </row>
    <row r="345" spans="1:5" x14ac:dyDescent="0.2">
      <c r="A345" t="s">
        <v>359</v>
      </c>
      <c r="B345" t="s">
        <v>10</v>
      </c>
      <c r="C345">
        <v>1</v>
      </c>
      <c r="D345">
        <v>0</v>
      </c>
      <c r="E345">
        <v>3</v>
      </c>
    </row>
    <row r="346" spans="1:5" x14ac:dyDescent="0.2">
      <c r="A346" t="s">
        <v>360</v>
      </c>
      <c r="B346" t="s">
        <v>21</v>
      </c>
      <c r="C346">
        <v>0</v>
      </c>
      <c r="D346">
        <v>0</v>
      </c>
      <c r="E346">
        <v>4</v>
      </c>
    </row>
    <row r="347" spans="1:5" x14ac:dyDescent="0.2">
      <c r="A347" t="s">
        <v>361</v>
      </c>
      <c r="B347" t="s">
        <v>21</v>
      </c>
      <c r="C347">
        <v>1</v>
      </c>
      <c r="D347">
        <v>1</v>
      </c>
      <c r="E347">
        <v>3</v>
      </c>
    </row>
    <row r="348" spans="1:5" x14ac:dyDescent="0.2">
      <c r="A348" t="s">
        <v>362</v>
      </c>
      <c r="B348" t="s">
        <v>36</v>
      </c>
      <c r="C348">
        <v>0</v>
      </c>
      <c r="D348">
        <v>0</v>
      </c>
      <c r="E348">
        <v>5</v>
      </c>
    </row>
    <row r="349" spans="1:5" x14ac:dyDescent="0.2">
      <c r="A349" t="s">
        <v>363</v>
      </c>
      <c r="B349" t="s">
        <v>36</v>
      </c>
      <c r="C349">
        <v>0</v>
      </c>
      <c r="D349">
        <v>0</v>
      </c>
      <c r="E349">
        <v>5</v>
      </c>
    </row>
    <row r="350" spans="1:5" x14ac:dyDescent="0.2">
      <c r="A350" t="s">
        <v>364</v>
      </c>
      <c r="B350" t="s">
        <v>8</v>
      </c>
      <c r="C350">
        <v>0</v>
      </c>
      <c r="D350">
        <v>0</v>
      </c>
      <c r="E350">
        <v>4</v>
      </c>
    </row>
    <row r="351" spans="1:5" x14ac:dyDescent="0.2">
      <c r="A351" t="s">
        <v>365</v>
      </c>
      <c r="B351" t="s">
        <v>38</v>
      </c>
      <c r="C351">
        <v>0</v>
      </c>
      <c r="D351">
        <v>0</v>
      </c>
      <c r="E351">
        <v>3</v>
      </c>
    </row>
    <row r="352" spans="1:5" x14ac:dyDescent="0.2">
      <c r="A352" t="s">
        <v>366</v>
      </c>
      <c r="B352" t="s">
        <v>16</v>
      </c>
      <c r="C352">
        <v>0</v>
      </c>
      <c r="D352">
        <v>0</v>
      </c>
      <c r="E352">
        <v>2</v>
      </c>
    </row>
    <row r="353" spans="1:5" x14ac:dyDescent="0.2">
      <c r="A353" t="s">
        <v>367</v>
      </c>
      <c r="B353" t="s">
        <v>16</v>
      </c>
      <c r="C353">
        <v>0</v>
      </c>
      <c r="D353">
        <v>1</v>
      </c>
      <c r="E353">
        <v>5</v>
      </c>
    </row>
    <row r="354" spans="1:5" x14ac:dyDescent="0.2">
      <c r="A354" t="s">
        <v>368</v>
      </c>
      <c r="B354" t="s">
        <v>21</v>
      </c>
      <c r="C354">
        <v>0</v>
      </c>
      <c r="D354">
        <v>0</v>
      </c>
      <c r="E354">
        <v>2</v>
      </c>
    </row>
    <row r="355" spans="1:5" x14ac:dyDescent="0.2">
      <c r="A355" t="s">
        <v>369</v>
      </c>
      <c r="B355" t="s">
        <v>6</v>
      </c>
      <c r="C355">
        <v>0</v>
      </c>
      <c r="D355">
        <v>1</v>
      </c>
      <c r="E355">
        <v>1</v>
      </c>
    </row>
    <row r="356" spans="1:5" x14ac:dyDescent="0.2">
      <c r="A356" t="s">
        <v>370</v>
      </c>
      <c r="B356" t="s">
        <v>12</v>
      </c>
      <c r="C356">
        <v>0</v>
      </c>
      <c r="D356">
        <v>1</v>
      </c>
      <c r="E356">
        <v>3</v>
      </c>
    </row>
    <row r="357" spans="1:5" x14ac:dyDescent="0.2">
      <c r="A357" t="s">
        <v>371</v>
      </c>
      <c r="B357" t="s">
        <v>8</v>
      </c>
      <c r="C357">
        <v>0</v>
      </c>
      <c r="D357">
        <v>1</v>
      </c>
      <c r="E357">
        <v>1</v>
      </c>
    </row>
    <row r="358" spans="1:5" x14ac:dyDescent="0.2">
      <c r="A358" t="s">
        <v>372</v>
      </c>
      <c r="B358" t="s">
        <v>8</v>
      </c>
      <c r="C358">
        <v>0</v>
      </c>
      <c r="D358">
        <v>1</v>
      </c>
      <c r="E358">
        <v>2</v>
      </c>
    </row>
    <row r="359" spans="1:5" x14ac:dyDescent="0.2">
      <c r="A359" t="s">
        <v>373</v>
      </c>
      <c r="B359" t="s">
        <v>8</v>
      </c>
      <c r="C359">
        <v>0</v>
      </c>
      <c r="D359">
        <v>1</v>
      </c>
      <c r="E359">
        <v>4</v>
      </c>
    </row>
    <row r="360" spans="1:5" x14ac:dyDescent="0.2">
      <c r="A360" t="s">
        <v>374</v>
      </c>
      <c r="B360" t="s">
        <v>36</v>
      </c>
      <c r="C360">
        <v>0</v>
      </c>
      <c r="D360">
        <v>1</v>
      </c>
      <c r="E360">
        <v>2</v>
      </c>
    </row>
    <row r="361" spans="1:5" x14ac:dyDescent="0.2">
      <c r="A361" t="s">
        <v>375</v>
      </c>
      <c r="B361" t="s">
        <v>6</v>
      </c>
      <c r="C361">
        <v>1</v>
      </c>
      <c r="D361">
        <v>0</v>
      </c>
      <c r="E361">
        <v>4</v>
      </c>
    </row>
    <row r="362" spans="1:5" x14ac:dyDescent="0.2">
      <c r="A362" t="s">
        <v>376</v>
      </c>
      <c r="B362" t="s">
        <v>38</v>
      </c>
      <c r="C362">
        <v>1</v>
      </c>
      <c r="D362">
        <v>0</v>
      </c>
      <c r="E362">
        <v>4</v>
      </c>
    </row>
    <row r="363" spans="1:5" x14ac:dyDescent="0.2">
      <c r="A363" t="s">
        <v>377</v>
      </c>
      <c r="B363" t="s">
        <v>36</v>
      </c>
      <c r="C363">
        <v>0</v>
      </c>
      <c r="D363">
        <v>0</v>
      </c>
      <c r="E363">
        <v>1</v>
      </c>
    </row>
    <row r="364" spans="1:5" x14ac:dyDescent="0.2">
      <c r="A364" t="s">
        <v>378</v>
      </c>
      <c r="B364" t="s">
        <v>12</v>
      </c>
      <c r="C364">
        <v>1</v>
      </c>
      <c r="D364">
        <v>0</v>
      </c>
      <c r="E364">
        <v>3</v>
      </c>
    </row>
    <row r="365" spans="1:5" x14ac:dyDescent="0.2">
      <c r="A365" t="s">
        <v>379</v>
      </c>
      <c r="B365" t="s">
        <v>14</v>
      </c>
      <c r="C365">
        <v>0</v>
      </c>
      <c r="D365">
        <v>0</v>
      </c>
      <c r="E365">
        <v>4</v>
      </c>
    </row>
    <row r="366" spans="1:5" x14ac:dyDescent="0.2">
      <c r="A366" t="s">
        <v>380</v>
      </c>
      <c r="B366" t="s">
        <v>21</v>
      </c>
      <c r="C366">
        <v>0</v>
      </c>
      <c r="D366">
        <v>0</v>
      </c>
      <c r="E366">
        <v>1</v>
      </c>
    </row>
    <row r="367" spans="1:5" x14ac:dyDescent="0.2">
      <c r="A367" t="s">
        <v>381</v>
      </c>
      <c r="B367" t="s">
        <v>21</v>
      </c>
      <c r="C367">
        <v>1</v>
      </c>
      <c r="D367">
        <v>1</v>
      </c>
      <c r="E367">
        <v>5</v>
      </c>
    </row>
    <row r="368" spans="1:5" x14ac:dyDescent="0.2">
      <c r="A368" t="s">
        <v>382</v>
      </c>
      <c r="B368" t="s">
        <v>10</v>
      </c>
      <c r="C368">
        <v>0</v>
      </c>
      <c r="D368">
        <v>1</v>
      </c>
      <c r="E368">
        <v>2</v>
      </c>
    </row>
    <row r="369" spans="1:5" x14ac:dyDescent="0.2">
      <c r="A369" t="s">
        <v>383</v>
      </c>
      <c r="B369" t="s">
        <v>38</v>
      </c>
      <c r="C369">
        <v>1</v>
      </c>
      <c r="D369">
        <v>1</v>
      </c>
      <c r="E369">
        <v>2</v>
      </c>
    </row>
    <row r="370" spans="1:5" x14ac:dyDescent="0.2">
      <c r="A370" t="s">
        <v>384</v>
      </c>
      <c r="B370" t="s">
        <v>10</v>
      </c>
      <c r="C370">
        <v>0</v>
      </c>
      <c r="D370">
        <v>1</v>
      </c>
      <c r="E370">
        <v>3</v>
      </c>
    </row>
    <row r="371" spans="1:5" x14ac:dyDescent="0.2">
      <c r="A371" t="s">
        <v>385</v>
      </c>
      <c r="B371" t="s">
        <v>6</v>
      </c>
      <c r="C371">
        <v>1</v>
      </c>
      <c r="D371">
        <v>1</v>
      </c>
      <c r="E371">
        <v>4</v>
      </c>
    </row>
    <row r="372" spans="1:5" x14ac:dyDescent="0.2">
      <c r="A372" t="s">
        <v>386</v>
      </c>
      <c r="B372" t="s">
        <v>8</v>
      </c>
      <c r="C372">
        <v>0</v>
      </c>
      <c r="D372">
        <v>1</v>
      </c>
      <c r="E372">
        <v>1</v>
      </c>
    </row>
    <row r="373" spans="1:5" x14ac:dyDescent="0.2">
      <c r="A373" t="s">
        <v>387</v>
      </c>
      <c r="B373" t="s">
        <v>33</v>
      </c>
      <c r="C373">
        <v>1</v>
      </c>
      <c r="D373">
        <v>1</v>
      </c>
      <c r="E373">
        <v>2</v>
      </c>
    </row>
    <row r="374" spans="1:5" x14ac:dyDescent="0.2">
      <c r="A374" t="s">
        <v>388</v>
      </c>
      <c r="B374" t="s">
        <v>38</v>
      </c>
      <c r="C374">
        <v>1</v>
      </c>
      <c r="D374">
        <v>0</v>
      </c>
      <c r="E374">
        <v>1</v>
      </c>
    </row>
    <row r="375" spans="1:5" x14ac:dyDescent="0.2">
      <c r="A375" t="s">
        <v>389</v>
      </c>
      <c r="B375" t="s">
        <v>14</v>
      </c>
      <c r="C375">
        <v>0</v>
      </c>
      <c r="D375">
        <v>1</v>
      </c>
      <c r="E375">
        <v>1</v>
      </c>
    </row>
    <row r="376" spans="1:5" x14ac:dyDescent="0.2">
      <c r="A376" t="s">
        <v>390</v>
      </c>
      <c r="B376" t="s">
        <v>21</v>
      </c>
      <c r="C376">
        <v>0</v>
      </c>
      <c r="D376">
        <v>1</v>
      </c>
      <c r="E376">
        <v>3</v>
      </c>
    </row>
    <row r="377" spans="1:5" x14ac:dyDescent="0.2">
      <c r="A377" t="s">
        <v>391</v>
      </c>
      <c r="B377" t="s">
        <v>6</v>
      </c>
      <c r="C377">
        <v>0</v>
      </c>
      <c r="D377">
        <v>0</v>
      </c>
      <c r="E377">
        <v>2</v>
      </c>
    </row>
    <row r="378" spans="1:5" x14ac:dyDescent="0.2">
      <c r="A378" t="s">
        <v>392</v>
      </c>
      <c r="B378" t="s">
        <v>10</v>
      </c>
      <c r="C378">
        <v>0</v>
      </c>
      <c r="D378">
        <v>1</v>
      </c>
      <c r="E378">
        <v>2</v>
      </c>
    </row>
    <row r="379" spans="1:5" x14ac:dyDescent="0.2">
      <c r="A379" t="s">
        <v>393</v>
      </c>
      <c r="B379" t="s">
        <v>14</v>
      </c>
      <c r="C379">
        <v>1</v>
      </c>
      <c r="D379">
        <v>0</v>
      </c>
      <c r="E379">
        <v>2</v>
      </c>
    </row>
    <row r="380" spans="1:5" x14ac:dyDescent="0.2">
      <c r="A380" t="s">
        <v>394</v>
      </c>
      <c r="B380" t="s">
        <v>12</v>
      </c>
      <c r="C380">
        <v>1</v>
      </c>
      <c r="D380">
        <v>1</v>
      </c>
      <c r="E380">
        <v>1</v>
      </c>
    </row>
    <row r="381" spans="1:5" x14ac:dyDescent="0.2">
      <c r="A381" t="s">
        <v>395</v>
      </c>
      <c r="B381" t="s">
        <v>8</v>
      </c>
      <c r="C381">
        <v>0</v>
      </c>
      <c r="D381">
        <v>0</v>
      </c>
      <c r="E381">
        <v>1</v>
      </c>
    </row>
    <row r="382" spans="1:5" x14ac:dyDescent="0.2">
      <c r="A382" t="s">
        <v>396</v>
      </c>
      <c r="B382" t="s">
        <v>16</v>
      </c>
      <c r="C382">
        <v>1</v>
      </c>
      <c r="D382">
        <v>1</v>
      </c>
      <c r="E382">
        <v>3</v>
      </c>
    </row>
    <row r="383" spans="1:5" x14ac:dyDescent="0.2">
      <c r="A383" t="s">
        <v>397</v>
      </c>
      <c r="B383" t="s">
        <v>36</v>
      </c>
      <c r="C383">
        <v>0</v>
      </c>
      <c r="D383">
        <v>1</v>
      </c>
      <c r="E383">
        <v>2</v>
      </c>
    </row>
    <row r="384" spans="1:5" x14ac:dyDescent="0.2">
      <c r="A384" t="s">
        <v>398</v>
      </c>
      <c r="B384" t="s">
        <v>12</v>
      </c>
      <c r="C384">
        <v>1</v>
      </c>
      <c r="D384">
        <v>0</v>
      </c>
      <c r="E384">
        <v>4</v>
      </c>
    </row>
    <row r="385" spans="1:5" x14ac:dyDescent="0.2">
      <c r="A385" t="s">
        <v>399</v>
      </c>
      <c r="B385" t="s">
        <v>38</v>
      </c>
      <c r="C385">
        <v>1</v>
      </c>
      <c r="D385">
        <v>1</v>
      </c>
      <c r="E385">
        <v>1</v>
      </c>
    </row>
    <row r="386" spans="1:5" x14ac:dyDescent="0.2">
      <c r="A386" t="s">
        <v>400</v>
      </c>
      <c r="B386" t="s">
        <v>38</v>
      </c>
      <c r="C386">
        <v>0</v>
      </c>
      <c r="D386">
        <v>1</v>
      </c>
      <c r="E386">
        <v>2</v>
      </c>
    </row>
    <row r="387" spans="1:5" x14ac:dyDescent="0.2">
      <c r="A387" t="s">
        <v>401</v>
      </c>
      <c r="B387" t="s">
        <v>12</v>
      </c>
      <c r="C387">
        <v>1</v>
      </c>
      <c r="D387">
        <v>1</v>
      </c>
      <c r="E387">
        <v>4</v>
      </c>
    </row>
    <row r="388" spans="1:5" x14ac:dyDescent="0.2">
      <c r="A388" t="s">
        <v>402</v>
      </c>
      <c r="B388" t="s">
        <v>38</v>
      </c>
      <c r="C388">
        <v>1</v>
      </c>
      <c r="D388">
        <v>1</v>
      </c>
      <c r="E388">
        <v>5</v>
      </c>
    </row>
    <row r="389" spans="1:5" x14ac:dyDescent="0.2">
      <c r="A389" t="s">
        <v>403</v>
      </c>
      <c r="B389" t="s">
        <v>38</v>
      </c>
      <c r="C389">
        <v>1</v>
      </c>
      <c r="D389">
        <v>1</v>
      </c>
      <c r="E389">
        <v>5</v>
      </c>
    </row>
    <row r="390" spans="1:5" x14ac:dyDescent="0.2">
      <c r="A390" t="s">
        <v>404</v>
      </c>
      <c r="B390" t="s">
        <v>8</v>
      </c>
      <c r="C390">
        <v>1</v>
      </c>
      <c r="D390">
        <v>0</v>
      </c>
      <c r="E390">
        <v>3</v>
      </c>
    </row>
    <row r="391" spans="1:5" x14ac:dyDescent="0.2">
      <c r="A391" t="s">
        <v>405</v>
      </c>
      <c r="B391" t="s">
        <v>12</v>
      </c>
      <c r="C391">
        <v>1</v>
      </c>
      <c r="D391">
        <v>1</v>
      </c>
      <c r="E391">
        <v>3</v>
      </c>
    </row>
    <row r="392" spans="1:5" x14ac:dyDescent="0.2">
      <c r="A392" t="s">
        <v>406</v>
      </c>
      <c r="B392" t="s">
        <v>14</v>
      </c>
      <c r="C392">
        <v>0</v>
      </c>
      <c r="D392">
        <v>0</v>
      </c>
      <c r="E392">
        <v>3</v>
      </c>
    </row>
    <row r="393" spans="1:5" x14ac:dyDescent="0.2">
      <c r="A393" t="s">
        <v>407</v>
      </c>
      <c r="B393" t="s">
        <v>10</v>
      </c>
      <c r="C393">
        <v>0</v>
      </c>
      <c r="D393">
        <v>0</v>
      </c>
      <c r="E393">
        <v>5</v>
      </c>
    </row>
    <row r="394" spans="1:5" x14ac:dyDescent="0.2">
      <c r="A394" t="s">
        <v>408</v>
      </c>
      <c r="B394" t="s">
        <v>16</v>
      </c>
      <c r="C394">
        <v>1</v>
      </c>
      <c r="D394">
        <v>0</v>
      </c>
      <c r="E394">
        <v>1</v>
      </c>
    </row>
    <row r="395" spans="1:5" x14ac:dyDescent="0.2">
      <c r="A395" t="s">
        <v>409</v>
      </c>
      <c r="B395" t="s">
        <v>8</v>
      </c>
      <c r="C395">
        <v>1</v>
      </c>
      <c r="D395">
        <v>0</v>
      </c>
      <c r="E395">
        <v>2</v>
      </c>
    </row>
    <row r="396" spans="1:5" x14ac:dyDescent="0.2">
      <c r="A396" t="s">
        <v>410</v>
      </c>
      <c r="B396" t="s">
        <v>12</v>
      </c>
      <c r="C396">
        <v>1</v>
      </c>
      <c r="D396">
        <v>1</v>
      </c>
      <c r="E396">
        <v>4</v>
      </c>
    </row>
    <row r="397" spans="1:5" x14ac:dyDescent="0.2">
      <c r="A397" t="s">
        <v>411</v>
      </c>
      <c r="B397" t="s">
        <v>33</v>
      </c>
      <c r="C397">
        <v>0</v>
      </c>
      <c r="D397">
        <v>0</v>
      </c>
      <c r="E397">
        <v>3</v>
      </c>
    </row>
    <row r="398" spans="1:5" x14ac:dyDescent="0.2">
      <c r="A398" t="s">
        <v>412</v>
      </c>
      <c r="B398" t="s">
        <v>10</v>
      </c>
      <c r="C398">
        <v>0</v>
      </c>
      <c r="D398">
        <v>0</v>
      </c>
      <c r="E398">
        <v>4</v>
      </c>
    </row>
    <row r="399" spans="1:5" x14ac:dyDescent="0.2">
      <c r="A399" t="s">
        <v>413</v>
      </c>
      <c r="B399" t="s">
        <v>38</v>
      </c>
      <c r="C399">
        <v>0</v>
      </c>
      <c r="D399">
        <v>1</v>
      </c>
      <c r="E399">
        <v>2</v>
      </c>
    </row>
    <row r="400" spans="1:5" x14ac:dyDescent="0.2">
      <c r="A400" t="s">
        <v>414</v>
      </c>
      <c r="B400" t="s">
        <v>8</v>
      </c>
      <c r="C400">
        <v>1</v>
      </c>
      <c r="D400">
        <v>1</v>
      </c>
      <c r="E400">
        <v>4</v>
      </c>
    </row>
    <row r="401" spans="1:5" x14ac:dyDescent="0.2">
      <c r="A401" t="s">
        <v>415</v>
      </c>
      <c r="B401" t="s">
        <v>36</v>
      </c>
      <c r="C401">
        <v>1</v>
      </c>
      <c r="D401">
        <v>1</v>
      </c>
      <c r="E401">
        <v>4</v>
      </c>
    </row>
    <row r="402" spans="1:5" x14ac:dyDescent="0.2">
      <c r="A402" t="s">
        <v>416</v>
      </c>
      <c r="B402" t="s">
        <v>6</v>
      </c>
      <c r="C402">
        <v>0</v>
      </c>
      <c r="D402">
        <v>1</v>
      </c>
      <c r="E402">
        <v>1</v>
      </c>
    </row>
    <row r="403" spans="1:5" x14ac:dyDescent="0.2">
      <c r="A403" t="s">
        <v>417</v>
      </c>
      <c r="B403" t="s">
        <v>10</v>
      </c>
      <c r="C403">
        <v>0</v>
      </c>
      <c r="D403">
        <v>0</v>
      </c>
      <c r="E403">
        <v>3</v>
      </c>
    </row>
    <row r="404" spans="1:5" x14ac:dyDescent="0.2">
      <c r="A404" t="s">
        <v>418</v>
      </c>
      <c r="B404" t="s">
        <v>10</v>
      </c>
      <c r="C404">
        <v>1</v>
      </c>
      <c r="D404">
        <v>1</v>
      </c>
      <c r="E404">
        <v>5</v>
      </c>
    </row>
    <row r="405" spans="1:5" x14ac:dyDescent="0.2">
      <c r="A405" t="s">
        <v>419</v>
      </c>
      <c r="B405" t="s">
        <v>14</v>
      </c>
      <c r="C405">
        <v>1</v>
      </c>
      <c r="D405">
        <v>1</v>
      </c>
      <c r="E405">
        <v>1</v>
      </c>
    </row>
    <row r="406" spans="1:5" x14ac:dyDescent="0.2">
      <c r="A406" t="s">
        <v>420</v>
      </c>
      <c r="B406" t="s">
        <v>6</v>
      </c>
      <c r="C406">
        <v>1</v>
      </c>
      <c r="D406">
        <v>1</v>
      </c>
      <c r="E406">
        <v>4</v>
      </c>
    </row>
    <row r="407" spans="1:5" x14ac:dyDescent="0.2">
      <c r="A407" t="s">
        <v>421</v>
      </c>
      <c r="B407" t="s">
        <v>21</v>
      </c>
      <c r="C407">
        <v>0</v>
      </c>
      <c r="D407">
        <v>0</v>
      </c>
      <c r="E407">
        <v>5</v>
      </c>
    </row>
    <row r="408" spans="1:5" x14ac:dyDescent="0.2">
      <c r="A408" t="s">
        <v>422</v>
      </c>
      <c r="B408" t="s">
        <v>14</v>
      </c>
      <c r="C408">
        <v>1</v>
      </c>
      <c r="D408">
        <v>1</v>
      </c>
      <c r="E408">
        <v>5</v>
      </c>
    </row>
    <row r="409" spans="1:5" x14ac:dyDescent="0.2">
      <c r="A409" t="s">
        <v>423</v>
      </c>
      <c r="B409" t="s">
        <v>12</v>
      </c>
      <c r="C409">
        <v>0</v>
      </c>
      <c r="D409">
        <v>0</v>
      </c>
      <c r="E409">
        <v>3</v>
      </c>
    </row>
    <row r="410" spans="1:5" x14ac:dyDescent="0.2">
      <c r="A410" t="s">
        <v>424</v>
      </c>
      <c r="B410" t="s">
        <v>6</v>
      </c>
      <c r="C410">
        <v>1</v>
      </c>
      <c r="D410">
        <v>1</v>
      </c>
      <c r="E410">
        <v>4</v>
      </c>
    </row>
    <row r="411" spans="1:5" x14ac:dyDescent="0.2">
      <c r="A411" t="s">
        <v>425</v>
      </c>
      <c r="B411" t="s">
        <v>8</v>
      </c>
      <c r="C411">
        <v>1</v>
      </c>
      <c r="D411">
        <v>0</v>
      </c>
      <c r="E411">
        <v>5</v>
      </c>
    </row>
    <row r="412" spans="1:5" x14ac:dyDescent="0.2">
      <c r="A412" t="s">
        <v>426</v>
      </c>
      <c r="B412" t="s">
        <v>14</v>
      </c>
      <c r="C412">
        <v>0</v>
      </c>
      <c r="D412">
        <v>1</v>
      </c>
      <c r="E412">
        <v>4</v>
      </c>
    </row>
    <row r="413" spans="1:5" x14ac:dyDescent="0.2">
      <c r="A413" t="s">
        <v>427</v>
      </c>
      <c r="B413" t="s">
        <v>16</v>
      </c>
      <c r="C413">
        <v>1</v>
      </c>
      <c r="D413">
        <v>0</v>
      </c>
      <c r="E413">
        <v>3</v>
      </c>
    </row>
    <row r="414" spans="1:5" x14ac:dyDescent="0.2">
      <c r="A414" t="s">
        <v>428</v>
      </c>
      <c r="B414" t="s">
        <v>33</v>
      </c>
      <c r="C414">
        <v>1</v>
      </c>
      <c r="D414">
        <v>0</v>
      </c>
      <c r="E414">
        <v>4</v>
      </c>
    </row>
    <row r="415" spans="1:5" x14ac:dyDescent="0.2">
      <c r="A415" t="s">
        <v>429</v>
      </c>
      <c r="B415" t="s">
        <v>8</v>
      </c>
      <c r="C415">
        <v>1</v>
      </c>
      <c r="D415">
        <v>1</v>
      </c>
      <c r="E415">
        <v>5</v>
      </c>
    </row>
    <row r="416" spans="1:5" x14ac:dyDescent="0.2">
      <c r="A416" t="s">
        <v>430</v>
      </c>
      <c r="B416" t="s">
        <v>12</v>
      </c>
      <c r="C416">
        <v>1</v>
      </c>
      <c r="D416">
        <v>1</v>
      </c>
      <c r="E416">
        <v>2</v>
      </c>
    </row>
    <row r="417" spans="1:5" x14ac:dyDescent="0.2">
      <c r="A417" t="s">
        <v>431</v>
      </c>
      <c r="B417" t="s">
        <v>14</v>
      </c>
      <c r="C417">
        <v>1</v>
      </c>
      <c r="D417">
        <v>1</v>
      </c>
      <c r="E417">
        <v>2</v>
      </c>
    </row>
    <row r="418" spans="1:5" x14ac:dyDescent="0.2">
      <c r="A418" t="s">
        <v>432</v>
      </c>
      <c r="B418" t="s">
        <v>38</v>
      </c>
      <c r="C418">
        <v>0</v>
      </c>
      <c r="D418">
        <v>1</v>
      </c>
      <c r="E418">
        <v>3</v>
      </c>
    </row>
    <row r="419" spans="1:5" x14ac:dyDescent="0.2">
      <c r="A419" t="s">
        <v>433</v>
      </c>
      <c r="B419" t="s">
        <v>16</v>
      </c>
      <c r="C419">
        <v>1</v>
      </c>
      <c r="D419">
        <v>0</v>
      </c>
      <c r="E419">
        <v>1</v>
      </c>
    </row>
    <row r="420" spans="1:5" x14ac:dyDescent="0.2">
      <c r="A420" t="s">
        <v>434</v>
      </c>
      <c r="B420" t="s">
        <v>33</v>
      </c>
      <c r="C420">
        <v>1</v>
      </c>
      <c r="D420">
        <v>1</v>
      </c>
      <c r="E420">
        <v>1</v>
      </c>
    </row>
    <row r="421" spans="1:5" x14ac:dyDescent="0.2">
      <c r="A421" t="s">
        <v>435</v>
      </c>
      <c r="B421" t="s">
        <v>33</v>
      </c>
      <c r="C421">
        <v>0</v>
      </c>
      <c r="D421">
        <v>0</v>
      </c>
      <c r="E421">
        <v>2</v>
      </c>
    </row>
    <row r="422" spans="1:5" x14ac:dyDescent="0.2">
      <c r="A422" t="s">
        <v>436</v>
      </c>
      <c r="B422" t="s">
        <v>14</v>
      </c>
      <c r="C422">
        <v>1</v>
      </c>
      <c r="D422">
        <v>1</v>
      </c>
      <c r="E422">
        <v>1</v>
      </c>
    </row>
    <row r="423" spans="1:5" x14ac:dyDescent="0.2">
      <c r="A423" t="s">
        <v>437</v>
      </c>
      <c r="B423" t="s">
        <v>21</v>
      </c>
      <c r="C423">
        <v>1</v>
      </c>
      <c r="D423">
        <v>1</v>
      </c>
      <c r="E423">
        <v>4</v>
      </c>
    </row>
    <row r="424" spans="1:5" x14ac:dyDescent="0.2">
      <c r="A424" t="s">
        <v>438</v>
      </c>
      <c r="B424" t="s">
        <v>6</v>
      </c>
      <c r="C424">
        <v>1</v>
      </c>
      <c r="D424">
        <v>1</v>
      </c>
      <c r="E424">
        <v>4</v>
      </c>
    </row>
    <row r="425" spans="1:5" x14ac:dyDescent="0.2">
      <c r="A425" t="s">
        <v>439</v>
      </c>
      <c r="B425" t="s">
        <v>16</v>
      </c>
      <c r="C425">
        <v>1</v>
      </c>
      <c r="D425">
        <v>0</v>
      </c>
      <c r="E425">
        <v>2</v>
      </c>
    </row>
    <row r="426" spans="1:5" x14ac:dyDescent="0.2">
      <c r="A426" t="s">
        <v>440</v>
      </c>
      <c r="B426" t="s">
        <v>38</v>
      </c>
      <c r="C426">
        <v>1</v>
      </c>
      <c r="D426">
        <v>1</v>
      </c>
      <c r="E426">
        <v>5</v>
      </c>
    </row>
    <row r="427" spans="1:5" x14ac:dyDescent="0.2">
      <c r="A427" t="s">
        <v>441</v>
      </c>
      <c r="B427" t="s">
        <v>38</v>
      </c>
      <c r="C427">
        <v>0</v>
      </c>
      <c r="D427">
        <v>1</v>
      </c>
      <c r="E427">
        <v>5</v>
      </c>
    </row>
    <row r="428" spans="1:5" x14ac:dyDescent="0.2">
      <c r="A428" t="s">
        <v>442</v>
      </c>
      <c r="B428" t="s">
        <v>33</v>
      </c>
      <c r="C428">
        <v>0</v>
      </c>
      <c r="D428">
        <v>0</v>
      </c>
      <c r="E428">
        <v>4</v>
      </c>
    </row>
    <row r="429" spans="1:5" x14ac:dyDescent="0.2">
      <c r="A429" t="s">
        <v>443</v>
      </c>
      <c r="B429" t="s">
        <v>10</v>
      </c>
      <c r="C429">
        <v>1</v>
      </c>
      <c r="D429">
        <v>1</v>
      </c>
      <c r="E429">
        <v>2</v>
      </c>
    </row>
    <row r="430" spans="1:5" x14ac:dyDescent="0.2">
      <c r="A430" t="s">
        <v>444</v>
      </c>
      <c r="B430" t="s">
        <v>33</v>
      </c>
      <c r="C430">
        <v>0</v>
      </c>
      <c r="D430">
        <v>0</v>
      </c>
      <c r="E430">
        <v>5</v>
      </c>
    </row>
    <row r="431" spans="1:5" x14ac:dyDescent="0.2">
      <c r="A431" t="s">
        <v>445</v>
      </c>
      <c r="B431" t="s">
        <v>21</v>
      </c>
      <c r="C431">
        <v>0</v>
      </c>
      <c r="D431">
        <v>0</v>
      </c>
      <c r="E431">
        <v>4</v>
      </c>
    </row>
    <row r="432" spans="1:5" x14ac:dyDescent="0.2">
      <c r="A432" t="s">
        <v>446</v>
      </c>
      <c r="B432" t="s">
        <v>38</v>
      </c>
      <c r="C432">
        <v>0</v>
      </c>
      <c r="D432">
        <v>1</v>
      </c>
      <c r="E432">
        <v>1</v>
      </c>
    </row>
    <row r="433" spans="1:5" x14ac:dyDescent="0.2">
      <c r="A433" t="s">
        <v>447</v>
      </c>
      <c r="B433" t="s">
        <v>38</v>
      </c>
      <c r="C433">
        <v>1</v>
      </c>
      <c r="D433">
        <v>1</v>
      </c>
      <c r="E433">
        <v>3</v>
      </c>
    </row>
    <row r="434" spans="1:5" x14ac:dyDescent="0.2">
      <c r="A434" t="s">
        <v>448</v>
      </c>
      <c r="B434" t="s">
        <v>6</v>
      </c>
      <c r="C434">
        <v>1</v>
      </c>
      <c r="D434">
        <v>0</v>
      </c>
      <c r="E434">
        <v>4</v>
      </c>
    </row>
    <row r="435" spans="1:5" x14ac:dyDescent="0.2">
      <c r="A435" t="s">
        <v>449</v>
      </c>
      <c r="B435" t="s">
        <v>10</v>
      </c>
      <c r="C435">
        <v>1</v>
      </c>
      <c r="D435">
        <v>1</v>
      </c>
      <c r="E435">
        <v>5</v>
      </c>
    </row>
    <row r="436" spans="1:5" x14ac:dyDescent="0.2">
      <c r="A436" t="s">
        <v>450</v>
      </c>
      <c r="B436" t="s">
        <v>6</v>
      </c>
      <c r="C436">
        <v>0</v>
      </c>
      <c r="D436">
        <v>0</v>
      </c>
      <c r="E436">
        <v>2</v>
      </c>
    </row>
    <row r="437" spans="1:5" x14ac:dyDescent="0.2">
      <c r="A437" t="s">
        <v>451</v>
      </c>
      <c r="B437" t="s">
        <v>38</v>
      </c>
      <c r="C437">
        <v>0</v>
      </c>
      <c r="D437">
        <v>1</v>
      </c>
      <c r="E437">
        <v>2</v>
      </c>
    </row>
    <row r="438" spans="1:5" x14ac:dyDescent="0.2">
      <c r="A438" t="s">
        <v>452</v>
      </c>
      <c r="B438" t="s">
        <v>21</v>
      </c>
      <c r="C438">
        <v>1</v>
      </c>
      <c r="D438">
        <v>1</v>
      </c>
      <c r="E438">
        <v>5</v>
      </c>
    </row>
    <row r="439" spans="1:5" x14ac:dyDescent="0.2">
      <c r="A439" t="s">
        <v>453</v>
      </c>
      <c r="B439" t="s">
        <v>38</v>
      </c>
      <c r="C439">
        <v>1</v>
      </c>
      <c r="D439">
        <v>0</v>
      </c>
      <c r="E439">
        <v>2</v>
      </c>
    </row>
    <row r="440" spans="1:5" x14ac:dyDescent="0.2">
      <c r="A440" t="s">
        <v>454</v>
      </c>
      <c r="B440" t="s">
        <v>6</v>
      </c>
      <c r="C440">
        <v>0</v>
      </c>
      <c r="D440">
        <v>0</v>
      </c>
      <c r="E440">
        <v>2</v>
      </c>
    </row>
    <row r="441" spans="1:5" x14ac:dyDescent="0.2">
      <c r="A441" t="s">
        <v>455</v>
      </c>
      <c r="B441" t="s">
        <v>6</v>
      </c>
      <c r="C441">
        <v>1</v>
      </c>
      <c r="D441">
        <v>1</v>
      </c>
      <c r="E441">
        <v>3</v>
      </c>
    </row>
    <row r="442" spans="1:5" x14ac:dyDescent="0.2">
      <c r="A442" t="s">
        <v>456</v>
      </c>
      <c r="B442" t="s">
        <v>10</v>
      </c>
      <c r="C442">
        <v>1</v>
      </c>
      <c r="D442">
        <v>0</v>
      </c>
      <c r="E442">
        <v>5</v>
      </c>
    </row>
    <row r="443" spans="1:5" x14ac:dyDescent="0.2">
      <c r="A443" t="s">
        <v>457</v>
      </c>
      <c r="B443" t="s">
        <v>33</v>
      </c>
      <c r="C443">
        <v>0</v>
      </c>
      <c r="D443">
        <v>1</v>
      </c>
      <c r="E443">
        <v>2</v>
      </c>
    </row>
    <row r="444" spans="1:5" x14ac:dyDescent="0.2">
      <c r="A444" t="s">
        <v>458</v>
      </c>
      <c r="B444" t="s">
        <v>14</v>
      </c>
      <c r="C444">
        <v>1</v>
      </c>
      <c r="D444">
        <v>1</v>
      </c>
      <c r="E444">
        <v>1</v>
      </c>
    </row>
    <row r="445" spans="1:5" x14ac:dyDescent="0.2">
      <c r="A445" t="s">
        <v>459</v>
      </c>
      <c r="B445" t="s">
        <v>12</v>
      </c>
      <c r="C445">
        <v>0</v>
      </c>
      <c r="D445">
        <v>0</v>
      </c>
      <c r="E445">
        <v>4</v>
      </c>
    </row>
    <row r="446" spans="1:5" x14ac:dyDescent="0.2">
      <c r="A446" t="s">
        <v>460</v>
      </c>
      <c r="B446" t="s">
        <v>14</v>
      </c>
      <c r="C446">
        <v>1</v>
      </c>
      <c r="D446">
        <v>1</v>
      </c>
      <c r="E446">
        <v>3</v>
      </c>
    </row>
    <row r="447" spans="1:5" x14ac:dyDescent="0.2">
      <c r="A447" t="s">
        <v>461</v>
      </c>
      <c r="B447" t="s">
        <v>36</v>
      </c>
      <c r="C447">
        <v>1</v>
      </c>
      <c r="D447">
        <v>1</v>
      </c>
      <c r="E447">
        <v>5</v>
      </c>
    </row>
    <row r="448" spans="1:5" x14ac:dyDescent="0.2">
      <c r="A448" t="s">
        <v>462</v>
      </c>
      <c r="B448" t="s">
        <v>38</v>
      </c>
      <c r="C448">
        <v>1</v>
      </c>
      <c r="D448">
        <v>0</v>
      </c>
      <c r="E448">
        <v>4</v>
      </c>
    </row>
    <row r="449" spans="1:5" x14ac:dyDescent="0.2">
      <c r="A449" t="s">
        <v>463</v>
      </c>
      <c r="B449" t="s">
        <v>14</v>
      </c>
      <c r="C449">
        <v>0</v>
      </c>
      <c r="D449">
        <v>1</v>
      </c>
      <c r="E449">
        <v>3</v>
      </c>
    </row>
    <row r="450" spans="1:5" x14ac:dyDescent="0.2">
      <c r="A450" t="s">
        <v>464</v>
      </c>
      <c r="B450" t="s">
        <v>10</v>
      </c>
      <c r="C450">
        <v>1</v>
      </c>
      <c r="D450">
        <v>0</v>
      </c>
      <c r="E450">
        <v>3</v>
      </c>
    </row>
    <row r="451" spans="1:5" x14ac:dyDescent="0.2">
      <c r="A451" t="s">
        <v>465</v>
      </c>
      <c r="B451" t="s">
        <v>8</v>
      </c>
      <c r="C451">
        <v>0</v>
      </c>
      <c r="D451">
        <v>1</v>
      </c>
      <c r="E451">
        <v>3</v>
      </c>
    </row>
    <row r="452" spans="1:5" x14ac:dyDescent="0.2">
      <c r="A452" t="s">
        <v>466</v>
      </c>
      <c r="B452" t="s">
        <v>33</v>
      </c>
      <c r="C452">
        <v>0</v>
      </c>
      <c r="D452">
        <v>1</v>
      </c>
      <c r="E452">
        <v>3</v>
      </c>
    </row>
    <row r="453" spans="1:5" x14ac:dyDescent="0.2">
      <c r="A453" t="s">
        <v>467</v>
      </c>
      <c r="B453" t="s">
        <v>8</v>
      </c>
      <c r="C453">
        <v>0</v>
      </c>
      <c r="D453">
        <v>1</v>
      </c>
      <c r="E453">
        <v>5</v>
      </c>
    </row>
    <row r="454" spans="1:5" x14ac:dyDescent="0.2">
      <c r="A454" t="s">
        <v>468</v>
      </c>
      <c r="B454" t="s">
        <v>21</v>
      </c>
      <c r="C454">
        <v>0</v>
      </c>
      <c r="D454">
        <v>0</v>
      </c>
      <c r="E454">
        <v>5</v>
      </c>
    </row>
    <row r="455" spans="1:5" x14ac:dyDescent="0.2">
      <c r="A455" t="s">
        <v>469</v>
      </c>
      <c r="B455" t="s">
        <v>36</v>
      </c>
      <c r="C455">
        <v>0</v>
      </c>
      <c r="D455">
        <v>0</v>
      </c>
      <c r="E455">
        <v>5</v>
      </c>
    </row>
    <row r="456" spans="1:5" x14ac:dyDescent="0.2">
      <c r="A456" t="s">
        <v>470</v>
      </c>
      <c r="B456" t="s">
        <v>14</v>
      </c>
      <c r="C456">
        <v>1</v>
      </c>
      <c r="D456">
        <v>0</v>
      </c>
      <c r="E456">
        <v>3</v>
      </c>
    </row>
    <row r="457" spans="1:5" x14ac:dyDescent="0.2">
      <c r="A457" t="s">
        <v>471</v>
      </c>
      <c r="B457" t="s">
        <v>36</v>
      </c>
      <c r="C457">
        <v>1</v>
      </c>
      <c r="D457">
        <v>1</v>
      </c>
      <c r="E457">
        <v>2</v>
      </c>
    </row>
    <row r="458" spans="1:5" x14ac:dyDescent="0.2">
      <c r="A458" t="s">
        <v>472</v>
      </c>
      <c r="B458" t="s">
        <v>6</v>
      </c>
      <c r="C458">
        <v>1</v>
      </c>
      <c r="D458">
        <v>1</v>
      </c>
      <c r="E458">
        <v>1</v>
      </c>
    </row>
    <row r="459" spans="1:5" x14ac:dyDescent="0.2">
      <c r="A459" t="s">
        <v>473</v>
      </c>
      <c r="B459" t="s">
        <v>8</v>
      </c>
      <c r="C459">
        <v>1</v>
      </c>
      <c r="D459">
        <v>1</v>
      </c>
      <c r="E459">
        <v>2</v>
      </c>
    </row>
    <row r="460" spans="1:5" x14ac:dyDescent="0.2">
      <c r="A460" t="s">
        <v>474</v>
      </c>
      <c r="B460" t="s">
        <v>10</v>
      </c>
      <c r="C460">
        <v>0</v>
      </c>
      <c r="D460">
        <v>1</v>
      </c>
      <c r="E460">
        <v>4</v>
      </c>
    </row>
    <row r="461" spans="1:5" x14ac:dyDescent="0.2">
      <c r="A461" t="s">
        <v>475</v>
      </c>
      <c r="B461" t="s">
        <v>12</v>
      </c>
      <c r="C461">
        <v>0</v>
      </c>
      <c r="D461">
        <v>1</v>
      </c>
      <c r="E461">
        <v>5</v>
      </c>
    </row>
    <row r="462" spans="1:5" x14ac:dyDescent="0.2">
      <c r="A462" t="s">
        <v>476</v>
      </c>
      <c r="B462" t="s">
        <v>33</v>
      </c>
      <c r="C462">
        <v>1</v>
      </c>
      <c r="D462">
        <v>0</v>
      </c>
      <c r="E462">
        <v>2</v>
      </c>
    </row>
    <row r="463" spans="1:5" x14ac:dyDescent="0.2">
      <c r="A463" t="s">
        <v>477</v>
      </c>
      <c r="B463" t="s">
        <v>36</v>
      </c>
      <c r="C463">
        <v>1</v>
      </c>
      <c r="D463">
        <v>1</v>
      </c>
      <c r="E463">
        <v>4</v>
      </c>
    </row>
    <row r="464" spans="1:5" x14ac:dyDescent="0.2">
      <c r="A464" t="s">
        <v>478</v>
      </c>
      <c r="B464" t="s">
        <v>12</v>
      </c>
      <c r="C464">
        <v>0</v>
      </c>
      <c r="D464">
        <v>1</v>
      </c>
      <c r="E464">
        <v>4</v>
      </c>
    </row>
    <row r="465" spans="1:5" x14ac:dyDescent="0.2">
      <c r="A465" t="s">
        <v>479</v>
      </c>
      <c r="B465" t="s">
        <v>125</v>
      </c>
      <c r="C465">
        <v>1</v>
      </c>
      <c r="D465">
        <v>0</v>
      </c>
      <c r="E465">
        <v>1</v>
      </c>
    </row>
    <row r="466" spans="1:5" x14ac:dyDescent="0.2">
      <c r="A466" t="s">
        <v>480</v>
      </c>
      <c r="B466" t="s">
        <v>38</v>
      </c>
      <c r="C466">
        <v>1</v>
      </c>
      <c r="D466">
        <v>0</v>
      </c>
      <c r="E466">
        <v>3</v>
      </c>
    </row>
    <row r="467" spans="1:5" x14ac:dyDescent="0.2">
      <c r="A467" t="s">
        <v>481</v>
      </c>
      <c r="B467" t="s">
        <v>12</v>
      </c>
      <c r="C467">
        <v>1</v>
      </c>
      <c r="D467">
        <v>1</v>
      </c>
      <c r="E467">
        <v>3</v>
      </c>
    </row>
    <row r="468" spans="1:5" x14ac:dyDescent="0.2">
      <c r="A468" t="s">
        <v>482</v>
      </c>
      <c r="B468" t="s">
        <v>8</v>
      </c>
      <c r="C468">
        <v>0</v>
      </c>
      <c r="D468">
        <v>1</v>
      </c>
      <c r="E468">
        <v>1</v>
      </c>
    </row>
    <row r="469" spans="1:5" x14ac:dyDescent="0.2">
      <c r="A469" t="s">
        <v>483</v>
      </c>
      <c r="B469" t="s">
        <v>6</v>
      </c>
      <c r="C469">
        <v>1</v>
      </c>
      <c r="D469">
        <v>0</v>
      </c>
      <c r="E469">
        <v>1</v>
      </c>
    </row>
    <row r="470" spans="1:5" x14ac:dyDescent="0.2">
      <c r="A470" t="s">
        <v>484</v>
      </c>
      <c r="B470" t="s">
        <v>12</v>
      </c>
      <c r="C470">
        <v>1</v>
      </c>
      <c r="D470">
        <v>1</v>
      </c>
      <c r="E470">
        <v>1</v>
      </c>
    </row>
    <row r="471" spans="1:5" x14ac:dyDescent="0.2">
      <c r="A471" t="s">
        <v>485</v>
      </c>
      <c r="B471" t="s">
        <v>14</v>
      </c>
      <c r="C471">
        <v>1</v>
      </c>
      <c r="D471">
        <v>1</v>
      </c>
      <c r="E471">
        <v>4</v>
      </c>
    </row>
    <row r="472" spans="1:5" x14ac:dyDescent="0.2">
      <c r="A472" t="s">
        <v>486</v>
      </c>
      <c r="B472" t="s">
        <v>38</v>
      </c>
      <c r="C472">
        <v>0</v>
      </c>
      <c r="D472">
        <v>1</v>
      </c>
      <c r="E472">
        <v>3</v>
      </c>
    </row>
    <row r="473" spans="1:5" x14ac:dyDescent="0.2">
      <c r="A473" t="s">
        <v>487</v>
      </c>
      <c r="B473" t="s">
        <v>33</v>
      </c>
      <c r="C473">
        <v>1</v>
      </c>
      <c r="D473">
        <v>0</v>
      </c>
      <c r="E473">
        <v>3</v>
      </c>
    </row>
    <row r="474" spans="1:5" x14ac:dyDescent="0.2">
      <c r="A474" t="s">
        <v>488</v>
      </c>
      <c r="B474" t="s">
        <v>10</v>
      </c>
      <c r="C474">
        <v>0</v>
      </c>
      <c r="D474">
        <v>0</v>
      </c>
      <c r="E474">
        <v>1</v>
      </c>
    </row>
    <row r="475" spans="1:5" x14ac:dyDescent="0.2">
      <c r="A475" t="s">
        <v>489</v>
      </c>
      <c r="B475" t="s">
        <v>10</v>
      </c>
      <c r="C475">
        <v>0</v>
      </c>
      <c r="D475">
        <v>0</v>
      </c>
      <c r="E475">
        <v>2</v>
      </c>
    </row>
    <row r="476" spans="1:5" x14ac:dyDescent="0.2">
      <c r="A476" t="s">
        <v>490</v>
      </c>
      <c r="B476" t="s">
        <v>38</v>
      </c>
      <c r="C476">
        <v>0</v>
      </c>
      <c r="D476">
        <v>0</v>
      </c>
      <c r="E476">
        <v>4</v>
      </c>
    </row>
    <row r="477" spans="1:5" x14ac:dyDescent="0.2">
      <c r="A477" t="s">
        <v>491</v>
      </c>
      <c r="B477" t="s">
        <v>10</v>
      </c>
      <c r="C477">
        <v>0</v>
      </c>
      <c r="D477">
        <v>1</v>
      </c>
      <c r="E477">
        <v>2</v>
      </c>
    </row>
    <row r="478" spans="1:5" x14ac:dyDescent="0.2">
      <c r="A478" t="s">
        <v>492</v>
      </c>
      <c r="B478" t="s">
        <v>8</v>
      </c>
      <c r="C478">
        <v>1</v>
      </c>
      <c r="D478">
        <v>1</v>
      </c>
      <c r="E478">
        <v>4</v>
      </c>
    </row>
    <row r="479" spans="1:5" x14ac:dyDescent="0.2">
      <c r="A479" t="s">
        <v>493</v>
      </c>
      <c r="B479" t="s">
        <v>14</v>
      </c>
      <c r="C479">
        <v>1</v>
      </c>
      <c r="D479">
        <v>0</v>
      </c>
      <c r="E479">
        <v>5</v>
      </c>
    </row>
    <row r="480" spans="1:5" x14ac:dyDescent="0.2">
      <c r="A480" t="s">
        <v>494</v>
      </c>
      <c r="B480" t="s">
        <v>21</v>
      </c>
      <c r="C480">
        <v>0</v>
      </c>
      <c r="D480">
        <v>1</v>
      </c>
      <c r="E480">
        <v>4</v>
      </c>
    </row>
    <row r="481" spans="1:5" x14ac:dyDescent="0.2">
      <c r="A481" t="s">
        <v>495</v>
      </c>
      <c r="B481" t="s">
        <v>38</v>
      </c>
      <c r="C481">
        <v>1</v>
      </c>
      <c r="D481">
        <v>0</v>
      </c>
      <c r="E481">
        <v>1</v>
      </c>
    </row>
    <row r="482" spans="1:5" x14ac:dyDescent="0.2">
      <c r="A482" t="s">
        <v>496</v>
      </c>
      <c r="B482" t="s">
        <v>33</v>
      </c>
      <c r="C482">
        <v>1</v>
      </c>
      <c r="D482">
        <v>1</v>
      </c>
      <c r="E482">
        <v>3</v>
      </c>
    </row>
    <row r="483" spans="1:5" x14ac:dyDescent="0.2">
      <c r="A483" t="s">
        <v>497</v>
      </c>
      <c r="B483" t="s">
        <v>6</v>
      </c>
      <c r="C483">
        <v>0</v>
      </c>
      <c r="D483">
        <v>0</v>
      </c>
      <c r="E483">
        <v>3</v>
      </c>
    </row>
    <row r="484" spans="1:5" x14ac:dyDescent="0.2">
      <c r="A484" t="s">
        <v>498</v>
      </c>
      <c r="B484" t="s">
        <v>6</v>
      </c>
      <c r="C484">
        <v>1</v>
      </c>
      <c r="D484">
        <v>1</v>
      </c>
      <c r="E484">
        <v>5</v>
      </c>
    </row>
    <row r="485" spans="1:5" x14ac:dyDescent="0.2">
      <c r="A485" t="s">
        <v>499</v>
      </c>
      <c r="B485" t="s">
        <v>6</v>
      </c>
      <c r="C485">
        <v>1</v>
      </c>
      <c r="D485">
        <v>0</v>
      </c>
      <c r="E485">
        <v>1</v>
      </c>
    </row>
    <row r="486" spans="1:5" x14ac:dyDescent="0.2">
      <c r="A486" t="s">
        <v>500</v>
      </c>
      <c r="B486" t="s">
        <v>10</v>
      </c>
      <c r="C486">
        <v>0</v>
      </c>
      <c r="D486">
        <v>1</v>
      </c>
      <c r="E486">
        <v>2</v>
      </c>
    </row>
    <row r="487" spans="1:5" x14ac:dyDescent="0.2">
      <c r="A487" t="s">
        <v>501</v>
      </c>
      <c r="B487" t="s">
        <v>6</v>
      </c>
      <c r="C487">
        <v>1</v>
      </c>
      <c r="D487">
        <v>1</v>
      </c>
      <c r="E487">
        <v>2</v>
      </c>
    </row>
    <row r="488" spans="1:5" x14ac:dyDescent="0.2">
      <c r="A488" t="s">
        <v>502</v>
      </c>
      <c r="B488" t="s">
        <v>8</v>
      </c>
      <c r="C488">
        <v>1</v>
      </c>
      <c r="D488">
        <v>1</v>
      </c>
      <c r="E488">
        <v>2</v>
      </c>
    </row>
    <row r="489" spans="1:5" x14ac:dyDescent="0.2">
      <c r="A489" t="s">
        <v>503</v>
      </c>
      <c r="B489" t="s">
        <v>16</v>
      </c>
      <c r="C489">
        <v>0</v>
      </c>
      <c r="D489">
        <v>1</v>
      </c>
      <c r="E489">
        <v>2</v>
      </c>
    </row>
    <row r="490" spans="1:5" x14ac:dyDescent="0.2">
      <c r="A490" t="s">
        <v>504</v>
      </c>
      <c r="B490" t="s">
        <v>38</v>
      </c>
      <c r="C490">
        <v>1</v>
      </c>
      <c r="D490">
        <v>0</v>
      </c>
      <c r="E490">
        <v>1</v>
      </c>
    </row>
    <row r="491" spans="1:5" x14ac:dyDescent="0.2">
      <c r="A491" t="s">
        <v>505</v>
      </c>
      <c r="B491" t="s">
        <v>10</v>
      </c>
      <c r="C491">
        <v>0</v>
      </c>
      <c r="D491">
        <v>0</v>
      </c>
      <c r="E491">
        <v>1</v>
      </c>
    </row>
    <row r="492" spans="1:5" x14ac:dyDescent="0.2">
      <c r="A492" t="s">
        <v>506</v>
      </c>
      <c r="B492" t="s">
        <v>6</v>
      </c>
      <c r="C492">
        <v>0</v>
      </c>
      <c r="D492">
        <v>0</v>
      </c>
      <c r="E492">
        <v>5</v>
      </c>
    </row>
    <row r="493" spans="1:5" x14ac:dyDescent="0.2">
      <c r="A493" t="s">
        <v>507</v>
      </c>
      <c r="B493" t="s">
        <v>36</v>
      </c>
      <c r="C493">
        <v>0</v>
      </c>
      <c r="D493">
        <v>1</v>
      </c>
      <c r="E493">
        <v>3</v>
      </c>
    </row>
    <row r="494" spans="1:5" x14ac:dyDescent="0.2">
      <c r="A494" t="s">
        <v>508</v>
      </c>
      <c r="B494" t="s">
        <v>6</v>
      </c>
      <c r="C494">
        <v>0</v>
      </c>
      <c r="D494">
        <v>1</v>
      </c>
      <c r="E494">
        <v>2</v>
      </c>
    </row>
    <row r="495" spans="1:5" x14ac:dyDescent="0.2">
      <c r="A495" t="s">
        <v>509</v>
      </c>
      <c r="B495" t="s">
        <v>33</v>
      </c>
      <c r="C495">
        <v>0</v>
      </c>
      <c r="D495">
        <v>1</v>
      </c>
      <c r="E495">
        <v>4</v>
      </c>
    </row>
    <row r="496" spans="1:5" x14ac:dyDescent="0.2">
      <c r="A496" t="s">
        <v>510</v>
      </c>
      <c r="B496" t="s">
        <v>38</v>
      </c>
      <c r="C496">
        <v>1</v>
      </c>
      <c r="D496">
        <v>1</v>
      </c>
      <c r="E496">
        <v>2</v>
      </c>
    </row>
    <row r="497" spans="1:5" x14ac:dyDescent="0.2">
      <c r="A497" t="s">
        <v>511</v>
      </c>
      <c r="B497" t="s">
        <v>21</v>
      </c>
      <c r="C497">
        <v>0</v>
      </c>
      <c r="D497">
        <v>0</v>
      </c>
      <c r="E497">
        <v>1</v>
      </c>
    </row>
    <row r="498" spans="1:5" x14ac:dyDescent="0.2">
      <c r="A498" t="s">
        <v>512</v>
      </c>
      <c r="B498" t="s">
        <v>10</v>
      </c>
      <c r="C498">
        <v>0</v>
      </c>
      <c r="D498">
        <v>1</v>
      </c>
      <c r="E498">
        <v>5</v>
      </c>
    </row>
    <row r="499" spans="1:5" x14ac:dyDescent="0.2">
      <c r="A499" t="s">
        <v>513</v>
      </c>
      <c r="B499" t="s">
        <v>12</v>
      </c>
      <c r="C499">
        <v>0</v>
      </c>
      <c r="D499">
        <v>1</v>
      </c>
      <c r="E499">
        <v>4</v>
      </c>
    </row>
    <row r="500" spans="1:5" x14ac:dyDescent="0.2">
      <c r="A500" t="s">
        <v>514</v>
      </c>
      <c r="B500" t="s">
        <v>36</v>
      </c>
      <c r="C500">
        <v>0</v>
      </c>
      <c r="D500">
        <v>0</v>
      </c>
      <c r="E500">
        <v>4</v>
      </c>
    </row>
    <row r="501" spans="1:5" x14ac:dyDescent="0.2">
      <c r="A501" t="s">
        <v>515</v>
      </c>
      <c r="B501" t="s">
        <v>12</v>
      </c>
      <c r="C501">
        <v>0</v>
      </c>
      <c r="D501">
        <v>1</v>
      </c>
      <c r="E501">
        <v>5</v>
      </c>
    </row>
    <row r="502" spans="1:5" x14ac:dyDescent="0.2">
      <c r="A502" t="s">
        <v>516</v>
      </c>
      <c r="B502" t="s">
        <v>8</v>
      </c>
      <c r="C502">
        <v>0</v>
      </c>
      <c r="D502">
        <v>1</v>
      </c>
      <c r="E502">
        <v>3</v>
      </c>
    </row>
    <row r="503" spans="1:5" x14ac:dyDescent="0.2">
      <c r="A503" t="s">
        <v>517</v>
      </c>
      <c r="B503" t="s">
        <v>33</v>
      </c>
      <c r="C503">
        <v>0</v>
      </c>
      <c r="D503">
        <v>1</v>
      </c>
      <c r="E503">
        <v>2</v>
      </c>
    </row>
    <row r="504" spans="1:5" x14ac:dyDescent="0.2">
      <c r="A504" t="s">
        <v>518</v>
      </c>
      <c r="B504" t="s">
        <v>12</v>
      </c>
      <c r="C504">
        <v>1</v>
      </c>
      <c r="D504">
        <v>1</v>
      </c>
      <c r="E504">
        <v>1</v>
      </c>
    </row>
    <row r="505" spans="1:5" x14ac:dyDescent="0.2">
      <c r="A505" t="s">
        <v>519</v>
      </c>
      <c r="B505" t="s">
        <v>12</v>
      </c>
      <c r="C505">
        <v>1</v>
      </c>
      <c r="D505">
        <v>0</v>
      </c>
      <c r="E505">
        <v>3</v>
      </c>
    </row>
    <row r="506" spans="1:5" x14ac:dyDescent="0.2">
      <c r="A506" t="s">
        <v>520</v>
      </c>
      <c r="B506" t="s">
        <v>6</v>
      </c>
      <c r="C506">
        <v>1</v>
      </c>
      <c r="D506">
        <v>0</v>
      </c>
      <c r="E506">
        <v>2</v>
      </c>
    </row>
    <row r="507" spans="1:5" x14ac:dyDescent="0.2">
      <c r="A507" t="s">
        <v>521</v>
      </c>
      <c r="B507" t="s">
        <v>8</v>
      </c>
      <c r="C507">
        <v>0</v>
      </c>
      <c r="D507">
        <v>0</v>
      </c>
      <c r="E507">
        <v>2</v>
      </c>
    </row>
    <row r="508" spans="1:5" x14ac:dyDescent="0.2">
      <c r="A508" t="s">
        <v>522</v>
      </c>
      <c r="B508" t="s">
        <v>21</v>
      </c>
      <c r="C508">
        <v>1</v>
      </c>
      <c r="D508">
        <v>1</v>
      </c>
      <c r="E508">
        <v>2</v>
      </c>
    </row>
    <row r="509" spans="1:5" x14ac:dyDescent="0.2">
      <c r="A509" t="s">
        <v>523</v>
      </c>
      <c r="B509" t="s">
        <v>12</v>
      </c>
      <c r="C509">
        <v>1</v>
      </c>
      <c r="D509">
        <v>1</v>
      </c>
      <c r="E509">
        <v>5</v>
      </c>
    </row>
    <row r="510" spans="1:5" x14ac:dyDescent="0.2">
      <c r="A510" t="s">
        <v>524</v>
      </c>
      <c r="B510" t="s">
        <v>8</v>
      </c>
      <c r="C510">
        <v>1</v>
      </c>
      <c r="D510">
        <v>1</v>
      </c>
      <c r="E510">
        <v>2</v>
      </c>
    </row>
    <row r="511" spans="1:5" x14ac:dyDescent="0.2">
      <c r="A511" t="s">
        <v>525</v>
      </c>
      <c r="B511" t="s">
        <v>14</v>
      </c>
      <c r="C511">
        <v>1</v>
      </c>
      <c r="D511">
        <v>1</v>
      </c>
      <c r="E511">
        <v>4</v>
      </c>
    </row>
    <row r="512" spans="1:5" x14ac:dyDescent="0.2">
      <c r="A512" t="s">
        <v>526</v>
      </c>
      <c r="B512" t="s">
        <v>12</v>
      </c>
      <c r="C512">
        <v>0</v>
      </c>
      <c r="D512">
        <v>0</v>
      </c>
      <c r="E512">
        <v>1</v>
      </c>
    </row>
    <row r="513" spans="1:5" x14ac:dyDescent="0.2">
      <c r="A513" t="s">
        <v>527</v>
      </c>
      <c r="B513" t="s">
        <v>21</v>
      </c>
      <c r="C513">
        <v>1</v>
      </c>
      <c r="D513">
        <v>0</v>
      </c>
      <c r="E513">
        <v>5</v>
      </c>
    </row>
    <row r="514" spans="1:5" x14ac:dyDescent="0.2">
      <c r="A514" t="s">
        <v>528</v>
      </c>
      <c r="B514" t="s">
        <v>12</v>
      </c>
      <c r="C514">
        <v>0</v>
      </c>
      <c r="D514">
        <v>0</v>
      </c>
      <c r="E514">
        <v>2</v>
      </c>
    </row>
    <row r="515" spans="1:5" x14ac:dyDescent="0.2">
      <c r="A515" t="s">
        <v>529</v>
      </c>
      <c r="B515" t="s">
        <v>14</v>
      </c>
      <c r="C515">
        <v>1</v>
      </c>
      <c r="D515">
        <v>0</v>
      </c>
      <c r="E515">
        <v>5</v>
      </c>
    </row>
    <row r="516" spans="1:5" x14ac:dyDescent="0.2">
      <c r="A516" t="s">
        <v>530</v>
      </c>
      <c r="B516" t="s">
        <v>10</v>
      </c>
      <c r="C516">
        <v>1</v>
      </c>
      <c r="D516">
        <v>1</v>
      </c>
      <c r="E516">
        <v>3</v>
      </c>
    </row>
    <row r="517" spans="1:5" x14ac:dyDescent="0.2">
      <c r="A517" t="s">
        <v>531</v>
      </c>
      <c r="B517" t="s">
        <v>36</v>
      </c>
      <c r="C517">
        <v>0</v>
      </c>
      <c r="D517">
        <v>1</v>
      </c>
      <c r="E517">
        <v>5</v>
      </c>
    </row>
    <row r="518" spans="1:5" x14ac:dyDescent="0.2">
      <c r="A518" t="s">
        <v>532</v>
      </c>
      <c r="B518" t="s">
        <v>14</v>
      </c>
      <c r="C518">
        <v>0</v>
      </c>
      <c r="D518">
        <v>1</v>
      </c>
      <c r="E518">
        <v>4</v>
      </c>
    </row>
    <row r="519" spans="1:5" x14ac:dyDescent="0.2">
      <c r="A519" t="s">
        <v>533</v>
      </c>
      <c r="B519" t="s">
        <v>10</v>
      </c>
      <c r="C519">
        <v>1</v>
      </c>
      <c r="D519">
        <v>0</v>
      </c>
      <c r="E519">
        <v>4</v>
      </c>
    </row>
    <row r="520" spans="1:5" x14ac:dyDescent="0.2">
      <c r="A520" t="s">
        <v>534</v>
      </c>
      <c r="B520" t="s">
        <v>36</v>
      </c>
      <c r="C520">
        <v>1</v>
      </c>
      <c r="D520">
        <v>1</v>
      </c>
      <c r="E520">
        <v>4</v>
      </c>
    </row>
    <row r="521" spans="1:5" x14ac:dyDescent="0.2">
      <c r="A521" t="s">
        <v>535</v>
      </c>
      <c r="B521" t="s">
        <v>6</v>
      </c>
      <c r="C521">
        <v>0</v>
      </c>
      <c r="D521">
        <v>0</v>
      </c>
      <c r="E521">
        <v>1</v>
      </c>
    </row>
    <row r="522" spans="1:5" x14ac:dyDescent="0.2">
      <c r="A522" t="s">
        <v>536</v>
      </c>
      <c r="B522" t="s">
        <v>38</v>
      </c>
      <c r="C522">
        <v>1</v>
      </c>
      <c r="D522">
        <v>1</v>
      </c>
      <c r="E522">
        <v>5</v>
      </c>
    </row>
    <row r="523" spans="1:5" x14ac:dyDescent="0.2">
      <c r="A523" t="s">
        <v>537</v>
      </c>
      <c r="B523" t="s">
        <v>6</v>
      </c>
      <c r="C523">
        <v>0</v>
      </c>
      <c r="D523">
        <v>1</v>
      </c>
      <c r="E523">
        <v>1</v>
      </c>
    </row>
    <row r="524" spans="1:5" x14ac:dyDescent="0.2">
      <c r="A524" t="s">
        <v>538</v>
      </c>
      <c r="B524" t="s">
        <v>8</v>
      </c>
      <c r="C524">
        <v>1</v>
      </c>
      <c r="D524">
        <v>1</v>
      </c>
      <c r="E524">
        <v>2</v>
      </c>
    </row>
    <row r="525" spans="1:5" x14ac:dyDescent="0.2">
      <c r="A525" t="s">
        <v>539</v>
      </c>
      <c r="B525" t="s">
        <v>38</v>
      </c>
      <c r="C525">
        <v>1</v>
      </c>
      <c r="D525">
        <v>0</v>
      </c>
      <c r="E525">
        <v>4</v>
      </c>
    </row>
    <row r="526" spans="1:5" x14ac:dyDescent="0.2">
      <c r="A526" t="s">
        <v>540</v>
      </c>
      <c r="B526" t="s">
        <v>14</v>
      </c>
      <c r="C526">
        <v>1</v>
      </c>
      <c r="D526">
        <v>0</v>
      </c>
      <c r="E526">
        <v>2</v>
      </c>
    </row>
    <row r="527" spans="1:5" x14ac:dyDescent="0.2">
      <c r="A527" t="s">
        <v>541</v>
      </c>
      <c r="B527" t="s">
        <v>8</v>
      </c>
      <c r="C527">
        <v>1</v>
      </c>
      <c r="D527">
        <v>0</v>
      </c>
      <c r="E527">
        <v>1</v>
      </c>
    </row>
    <row r="528" spans="1:5" x14ac:dyDescent="0.2">
      <c r="A528" t="s">
        <v>542</v>
      </c>
      <c r="B528" t="s">
        <v>8</v>
      </c>
      <c r="C528">
        <v>1</v>
      </c>
      <c r="D528">
        <v>1</v>
      </c>
      <c r="E528">
        <v>2</v>
      </c>
    </row>
    <row r="529" spans="1:5" x14ac:dyDescent="0.2">
      <c r="A529" t="s">
        <v>543</v>
      </c>
      <c r="B529" t="s">
        <v>38</v>
      </c>
      <c r="C529">
        <v>1</v>
      </c>
      <c r="D529">
        <v>0</v>
      </c>
      <c r="E529">
        <v>2</v>
      </c>
    </row>
    <row r="530" spans="1:5" x14ac:dyDescent="0.2">
      <c r="A530" t="s">
        <v>544</v>
      </c>
      <c r="B530" t="s">
        <v>33</v>
      </c>
      <c r="C530">
        <v>0</v>
      </c>
      <c r="D530">
        <v>1</v>
      </c>
      <c r="E530">
        <v>3</v>
      </c>
    </row>
    <row r="531" spans="1:5" x14ac:dyDescent="0.2">
      <c r="A531" t="s">
        <v>545</v>
      </c>
      <c r="B531" t="s">
        <v>6</v>
      </c>
      <c r="C531">
        <v>0</v>
      </c>
      <c r="D531">
        <v>0</v>
      </c>
      <c r="E531">
        <v>4</v>
      </c>
    </row>
    <row r="532" spans="1:5" x14ac:dyDescent="0.2">
      <c r="A532" t="s">
        <v>546</v>
      </c>
      <c r="B532" t="s">
        <v>8</v>
      </c>
      <c r="C532">
        <v>1</v>
      </c>
      <c r="D532">
        <v>1</v>
      </c>
      <c r="E532">
        <v>1</v>
      </c>
    </row>
    <row r="533" spans="1:5" x14ac:dyDescent="0.2">
      <c r="A533" t="s">
        <v>547</v>
      </c>
      <c r="B533" t="s">
        <v>16</v>
      </c>
      <c r="C533">
        <v>1</v>
      </c>
      <c r="D533">
        <v>1</v>
      </c>
      <c r="E533">
        <v>5</v>
      </c>
    </row>
    <row r="534" spans="1:5" x14ac:dyDescent="0.2">
      <c r="A534" t="s">
        <v>548</v>
      </c>
      <c r="B534" t="s">
        <v>16</v>
      </c>
      <c r="C534">
        <v>1</v>
      </c>
      <c r="D534">
        <v>0</v>
      </c>
      <c r="E534">
        <v>4</v>
      </c>
    </row>
    <row r="535" spans="1:5" x14ac:dyDescent="0.2">
      <c r="A535" t="s">
        <v>549</v>
      </c>
      <c r="B535" t="s">
        <v>33</v>
      </c>
      <c r="C535">
        <v>0</v>
      </c>
      <c r="D535">
        <v>1</v>
      </c>
      <c r="E535">
        <v>3</v>
      </c>
    </row>
    <row r="536" spans="1:5" x14ac:dyDescent="0.2">
      <c r="A536" t="s">
        <v>550</v>
      </c>
      <c r="B536" t="s">
        <v>38</v>
      </c>
      <c r="C536">
        <v>0</v>
      </c>
      <c r="D536">
        <v>1</v>
      </c>
      <c r="E536">
        <v>2</v>
      </c>
    </row>
    <row r="537" spans="1:5" x14ac:dyDescent="0.2">
      <c r="A537" t="s">
        <v>551</v>
      </c>
      <c r="B537" t="s">
        <v>8</v>
      </c>
      <c r="C537">
        <v>0</v>
      </c>
      <c r="D537">
        <v>0</v>
      </c>
      <c r="E537">
        <v>2</v>
      </c>
    </row>
    <row r="538" spans="1:5" x14ac:dyDescent="0.2">
      <c r="A538" t="s">
        <v>552</v>
      </c>
      <c r="B538" t="s">
        <v>38</v>
      </c>
      <c r="C538">
        <v>1</v>
      </c>
      <c r="D538">
        <v>1</v>
      </c>
      <c r="E538">
        <v>2</v>
      </c>
    </row>
    <row r="539" spans="1:5" x14ac:dyDescent="0.2">
      <c r="A539" t="s">
        <v>553</v>
      </c>
      <c r="B539" t="s">
        <v>16</v>
      </c>
      <c r="C539">
        <v>0</v>
      </c>
      <c r="D539">
        <v>0</v>
      </c>
      <c r="E539">
        <v>1</v>
      </c>
    </row>
    <row r="540" spans="1:5" x14ac:dyDescent="0.2">
      <c r="A540" t="s">
        <v>554</v>
      </c>
      <c r="B540" t="s">
        <v>6</v>
      </c>
      <c r="C540">
        <v>0</v>
      </c>
      <c r="D540">
        <v>1</v>
      </c>
      <c r="E540">
        <v>4</v>
      </c>
    </row>
    <row r="541" spans="1:5" x14ac:dyDescent="0.2">
      <c r="A541" t="s">
        <v>555</v>
      </c>
      <c r="B541" t="s">
        <v>16</v>
      </c>
      <c r="C541">
        <v>1</v>
      </c>
      <c r="D541">
        <v>1</v>
      </c>
      <c r="E541">
        <v>1</v>
      </c>
    </row>
    <row r="542" spans="1:5" x14ac:dyDescent="0.2">
      <c r="A542" t="s">
        <v>556</v>
      </c>
      <c r="B542" t="s">
        <v>6</v>
      </c>
      <c r="C542">
        <v>1</v>
      </c>
      <c r="D542">
        <v>1</v>
      </c>
      <c r="E542">
        <v>2</v>
      </c>
    </row>
    <row r="543" spans="1:5" x14ac:dyDescent="0.2">
      <c r="A543" t="s">
        <v>557</v>
      </c>
      <c r="B543" t="s">
        <v>33</v>
      </c>
      <c r="C543">
        <v>0</v>
      </c>
      <c r="D543">
        <v>0</v>
      </c>
      <c r="E543">
        <v>4</v>
      </c>
    </row>
    <row r="544" spans="1:5" x14ac:dyDescent="0.2">
      <c r="A544" t="s">
        <v>558</v>
      </c>
      <c r="B544" t="s">
        <v>33</v>
      </c>
      <c r="C544">
        <v>1</v>
      </c>
      <c r="D544">
        <v>1</v>
      </c>
      <c r="E544">
        <v>4</v>
      </c>
    </row>
    <row r="545" spans="1:5" x14ac:dyDescent="0.2">
      <c r="A545" t="s">
        <v>559</v>
      </c>
      <c r="B545" t="s">
        <v>6</v>
      </c>
      <c r="C545">
        <v>0</v>
      </c>
      <c r="D545">
        <v>1</v>
      </c>
      <c r="E545">
        <v>2</v>
      </c>
    </row>
    <row r="546" spans="1:5" x14ac:dyDescent="0.2">
      <c r="A546" t="s">
        <v>560</v>
      </c>
      <c r="B546" t="s">
        <v>14</v>
      </c>
      <c r="C546">
        <v>0</v>
      </c>
      <c r="D546">
        <v>0</v>
      </c>
      <c r="E546">
        <v>2</v>
      </c>
    </row>
    <row r="547" spans="1:5" x14ac:dyDescent="0.2">
      <c r="A547" t="s">
        <v>561</v>
      </c>
      <c r="B547" t="s">
        <v>12</v>
      </c>
      <c r="C547">
        <v>1</v>
      </c>
      <c r="D547">
        <v>1</v>
      </c>
      <c r="E547">
        <v>5</v>
      </c>
    </row>
    <row r="548" spans="1:5" x14ac:dyDescent="0.2">
      <c r="A548" t="s">
        <v>562</v>
      </c>
      <c r="B548" t="s">
        <v>36</v>
      </c>
      <c r="C548">
        <v>1</v>
      </c>
      <c r="D548">
        <v>1</v>
      </c>
      <c r="E548">
        <v>5</v>
      </c>
    </row>
    <row r="549" spans="1:5" x14ac:dyDescent="0.2">
      <c r="A549" t="s">
        <v>563</v>
      </c>
      <c r="B549" t="s">
        <v>8</v>
      </c>
      <c r="C549">
        <v>1</v>
      </c>
      <c r="D549">
        <v>0</v>
      </c>
      <c r="E549">
        <v>5</v>
      </c>
    </row>
    <row r="550" spans="1:5" x14ac:dyDescent="0.2">
      <c r="A550" t="s">
        <v>564</v>
      </c>
      <c r="B550" t="s">
        <v>12</v>
      </c>
      <c r="C550">
        <v>0</v>
      </c>
      <c r="D550">
        <v>1</v>
      </c>
      <c r="E550">
        <v>5</v>
      </c>
    </row>
    <row r="551" spans="1:5" x14ac:dyDescent="0.2">
      <c r="A551" t="s">
        <v>565</v>
      </c>
      <c r="B551" t="s">
        <v>16</v>
      </c>
      <c r="C551">
        <v>1</v>
      </c>
      <c r="D551">
        <v>1</v>
      </c>
      <c r="E551">
        <v>3</v>
      </c>
    </row>
    <row r="552" spans="1:5" x14ac:dyDescent="0.2">
      <c r="A552" t="s">
        <v>566</v>
      </c>
      <c r="B552" t="s">
        <v>36</v>
      </c>
      <c r="C552">
        <v>0</v>
      </c>
      <c r="D552">
        <v>0</v>
      </c>
      <c r="E552">
        <v>4</v>
      </c>
    </row>
    <row r="553" spans="1:5" x14ac:dyDescent="0.2">
      <c r="A553" t="s">
        <v>567</v>
      </c>
      <c r="B553" t="s">
        <v>16</v>
      </c>
      <c r="C553">
        <v>1</v>
      </c>
      <c r="D553">
        <v>1</v>
      </c>
      <c r="E553">
        <v>5</v>
      </c>
    </row>
    <row r="554" spans="1:5" x14ac:dyDescent="0.2">
      <c r="A554" t="s">
        <v>568</v>
      </c>
      <c r="B554" t="s">
        <v>33</v>
      </c>
      <c r="C554">
        <v>1</v>
      </c>
      <c r="D554">
        <v>0</v>
      </c>
      <c r="E554">
        <v>2</v>
      </c>
    </row>
    <row r="555" spans="1:5" x14ac:dyDescent="0.2">
      <c r="A555" t="s">
        <v>569</v>
      </c>
      <c r="B555" t="s">
        <v>12</v>
      </c>
      <c r="C555">
        <v>0</v>
      </c>
      <c r="D555">
        <v>1</v>
      </c>
      <c r="E555">
        <v>5</v>
      </c>
    </row>
    <row r="556" spans="1:5" x14ac:dyDescent="0.2">
      <c r="A556" t="s">
        <v>570</v>
      </c>
      <c r="B556" t="s">
        <v>36</v>
      </c>
      <c r="C556">
        <v>1</v>
      </c>
      <c r="D556">
        <v>0</v>
      </c>
      <c r="E556">
        <v>4</v>
      </c>
    </row>
    <row r="557" spans="1:5" x14ac:dyDescent="0.2">
      <c r="A557" t="s">
        <v>571</v>
      </c>
      <c r="B557" t="s">
        <v>33</v>
      </c>
      <c r="C557">
        <v>1</v>
      </c>
      <c r="D557">
        <v>1</v>
      </c>
      <c r="E557">
        <v>1</v>
      </c>
    </row>
    <row r="558" spans="1:5" x14ac:dyDescent="0.2">
      <c r="A558" t="s">
        <v>572</v>
      </c>
      <c r="B558" t="s">
        <v>38</v>
      </c>
      <c r="C558">
        <v>1</v>
      </c>
      <c r="D558">
        <v>1</v>
      </c>
      <c r="E558">
        <v>4</v>
      </c>
    </row>
    <row r="559" spans="1:5" x14ac:dyDescent="0.2">
      <c r="A559" t="s">
        <v>573</v>
      </c>
      <c r="B559" t="s">
        <v>10</v>
      </c>
      <c r="C559">
        <v>1</v>
      </c>
      <c r="D559">
        <v>1</v>
      </c>
      <c r="E559">
        <v>4</v>
      </c>
    </row>
    <row r="560" spans="1:5" x14ac:dyDescent="0.2">
      <c r="A560" t="s">
        <v>574</v>
      </c>
      <c r="B560" t="s">
        <v>21</v>
      </c>
      <c r="C560">
        <v>0</v>
      </c>
      <c r="D560">
        <v>1</v>
      </c>
      <c r="E560">
        <v>4</v>
      </c>
    </row>
    <row r="561" spans="1:5" x14ac:dyDescent="0.2">
      <c r="A561" t="s">
        <v>575</v>
      </c>
      <c r="B561" t="s">
        <v>10</v>
      </c>
      <c r="C561">
        <v>0</v>
      </c>
      <c r="D561">
        <v>1</v>
      </c>
      <c r="E561">
        <v>1</v>
      </c>
    </row>
    <row r="562" spans="1:5" x14ac:dyDescent="0.2">
      <c r="A562" t="s">
        <v>576</v>
      </c>
      <c r="B562" t="s">
        <v>16</v>
      </c>
      <c r="C562">
        <v>1</v>
      </c>
      <c r="D562">
        <v>0</v>
      </c>
      <c r="E562">
        <v>5</v>
      </c>
    </row>
    <row r="563" spans="1:5" x14ac:dyDescent="0.2">
      <c r="A563" t="s">
        <v>577</v>
      </c>
      <c r="B563" t="s">
        <v>6</v>
      </c>
      <c r="C563">
        <v>0</v>
      </c>
      <c r="D563">
        <v>1</v>
      </c>
      <c r="E563">
        <v>3</v>
      </c>
    </row>
    <row r="564" spans="1:5" x14ac:dyDescent="0.2">
      <c r="A564" t="s">
        <v>578</v>
      </c>
      <c r="B564" t="s">
        <v>21</v>
      </c>
      <c r="C564">
        <v>1</v>
      </c>
      <c r="D564">
        <v>1</v>
      </c>
      <c r="E564">
        <v>5</v>
      </c>
    </row>
    <row r="565" spans="1:5" x14ac:dyDescent="0.2">
      <c r="A565" t="s">
        <v>579</v>
      </c>
      <c r="B565" t="s">
        <v>38</v>
      </c>
      <c r="C565">
        <v>1</v>
      </c>
      <c r="D565">
        <v>1</v>
      </c>
      <c r="E565">
        <v>3</v>
      </c>
    </row>
    <row r="566" spans="1:5" x14ac:dyDescent="0.2">
      <c r="A566" t="s">
        <v>580</v>
      </c>
      <c r="B566" t="s">
        <v>14</v>
      </c>
      <c r="C566">
        <v>0</v>
      </c>
      <c r="D566">
        <v>1</v>
      </c>
      <c r="E566">
        <v>1</v>
      </c>
    </row>
    <row r="567" spans="1:5" x14ac:dyDescent="0.2">
      <c r="A567" t="s">
        <v>581</v>
      </c>
      <c r="B567" t="s">
        <v>6</v>
      </c>
      <c r="C567">
        <v>0</v>
      </c>
      <c r="D567">
        <v>0</v>
      </c>
      <c r="E567">
        <v>3</v>
      </c>
    </row>
    <row r="568" spans="1:5" x14ac:dyDescent="0.2">
      <c r="A568" t="s">
        <v>582</v>
      </c>
      <c r="B568" t="s">
        <v>21</v>
      </c>
      <c r="C568">
        <v>0</v>
      </c>
      <c r="D568">
        <v>0</v>
      </c>
      <c r="E568">
        <v>1</v>
      </c>
    </row>
    <row r="569" spans="1:5" x14ac:dyDescent="0.2">
      <c r="A569" t="s">
        <v>583</v>
      </c>
      <c r="B569" t="s">
        <v>36</v>
      </c>
      <c r="C569">
        <v>1</v>
      </c>
      <c r="D569">
        <v>0</v>
      </c>
      <c r="E569">
        <v>5</v>
      </c>
    </row>
    <row r="570" spans="1:5" x14ac:dyDescent="0.2">
      <c r="A570" t="s">
        <v>584</v>
      </c>
      <c r="B570" t="s">
        <v>10</v>
      </c>
      <c r="C570">
        <v>1</v>
      </c>
      <c r="D570">
        <v>0</v>
      </c>
      <c r="E570">
        <v>5</v>
      </c>
    </row>
    <row r="571" spans="1:5" x14ac:dyDescent="0.2">
      <c r="A571" t="s">
        <v>585</v>
      </c>
      <c r="B571" t="s">
        <v>16</v>
      </c>
      <c r="C571">
        <v>0</v>
      </c>
      <c r="D571">
        <v>1</v>
      </c>
      <c r="E571">
        <v>2</v>
      </c>
    </row>
    <row r="572" spans="1:5" x14ac:dyDescent="0.2">
      <c r="A572" t="s">
        <v>586</v>
      </c>
      <c r="B572" t="s">
        <v>8</v>
      </c>
      <c r="C572">
        <v>0</v>
      </c>
      <c r="D572">
        <v>1</v>
      </c>
      <c r="E572">
        <v>5</v>
      </c>
    </row>
    <row r="573" spans="1:5" x14ac:dyDescent="0.2">
      <c r="A573" t="s">
        <v>587</v>
      </c>
      <c r="B573" t="s">
        <v>21</v>
      </c>
      <c r="C573">
        <v>0</v>
      </c>
      <c r="D573">
        <v>1</v>
      </c>
      <c r="E573">
        <v>3</v>
      </c>
    </row>
    <row r="574" spans="1:5" x14ac:dyDescent="0.2">
      <c r="A574" t="s">
        <v>588</v>
      </c>
      <c r="B574" t="s">
        <v>16</v>
      </c>
      <c r="C574">
        <v>1</v>
      </c>
      <c r="D574">
        <v>1</v>
      </c>
      <c r="E574">
        <v>1</v>
      </c>
    </row>
    <row r="575" spans="1:5" x14ac:dyDescent="0.2">
      <c r="A575" t="s">
        <v>589</v>
      </c>
      <c r="B575" t="s">
        <v>16</v>
      </c>
      <c r="C575">
        <v>1</v>
      </c>
      <c r="D575">
        <v>0</v>
      </c>
      <c r="E575">
        <v>5</v>
      </c>
    </row>
    <row r="576" spans="1:5" x14ac:dyDescent="0.2">
      <c r="A576" t="s">
        <v>590</v>
      </c>
      <c r="B576" t="s">
        <v>8</v>
      </c>
      <c r="C576">
        <v>1</v>
      </c>
      <c r="D576">
        <v>0</v>
      </c>
      <c r="E576">
        <v>1</v>
      </c>
    </row>
    <row r="577" spans="1:5" x14ac:dyDescent="0.2">
      <c r="A577" t="s">
        <v>591</v>
      </c>
      <c r="B577" t="s">
        <v>21</v>
      </c>
      <c r="C577">
        <v>0</v>
      </c>
      <c r="D577">
        <v>1</v>
      </c>
      <c r="E577">
        <v>2</v>
      </c>
    </row>
    <row r="578" spans="1:5" x14ac:dyDescent="0.2">
      <c r="A578" t="s">
        <v>592</v>
      </c>
      <c r="B578" t="s">
        <v>38</v>
      </c>
      <c r="C578">
        <v>1</v>
      </c>
      <c r="D578">
        <v>0</v>
      </c>
      <c r="E578">
        <v>1</v>
      </c>
    </row>
    <row r="579" spans="1:5" x14ac:dyDescent="0.2">
      <c r="A579" t="s">
        <v>593</v>
      </c>
      <c r="B579" t="s">
        <v>6</v>
      </c>
      <c r="C579">
        <v>1</v>
      </c>
      <c r="D579">
        <v>1</v>
      </c>
      <c r="E579">
        <v>4</v>
      </c>
    </row>
    <row r="580" spans="1:5" x14ac:dyDescent="0.2">
      <c r="A580" t="s">
        <v>594</v>
      </c>
      <c r="B580" t="s">
        <v>8</v>
      </c>
      <c r="C580">
        <v>0</v>
      </c>
      <c r="D580">
        <v>1</v>
      </c>
      <c r="E580">
        <v>4</v>
      </c>
    </row>
    <row r="581" spans="1:5" x14ac:dyDescent="0.2">
      <c r="A581" t="s">
        <v>595</v>
      </c>
      <c r="B581" t="s">
        <v>21</v>
      </c>
      <c r="C581">
        <v>1</v>
      </c>
      <c r="D581">
        <v>0</v>
      </c>
      <c r="E581">
        <v>4</v>
      </c>
    </row>
    <row r="582" spans="1:5" x14ac:dyDescent="0.2">
      <c r="A582" t="s">
        <v>596</v>
      </c>
      <c r="B582" t="s">
        <v>10</v>
      </c>
      <c r="C582">
        <v>0</v>
      </c>
      <c r="D582">
        <v>1</v>
      </c>
      <c r="E582">
        <v>3</v>
      </c>
    </row>
    <row r="583" spans="1:5" x14ac:dyDescent="0.2">
      <c r="A583" t="s">
        <v>597</v>
      </c>
      <c r="B583" t="s">
        <v>8</v>
      </c>
      <c r="C583">
        <v>0</v>
      </c>
      <c r="D583">
        <v>1</v>
      </c>
      <c r="E583">
        <v>4</v>
      </c>
    </row>
    <row r="584" spans="1:5" x14ac:dyDescent="0.2">
      <c r="A584" t="s">
        <v>598</v>
      </c>
      <c r="B584" t="s">
        <v>8</v>
      </c>
      <c r="C584">
        <v>1</v>
      </c>
      <c r="D584">
        <v>1</v>
      </c>
      <c r="E584">
        <v>2</v>
      </c>
    </row>
    <row r="585" spans="1:5" x14ac:dyDescent="0.2">
      <c r="A585" t="s">
        <v>599</v>
      </c>
      <c r="B585" t="s">
        <v>12</v>
      </c>
      <c r="C585">
        <v>0</v>
      </c>
      <c r="D585">
        <v>1</v>
      </c>
      <c r="E585">
        <v>4</v>
      </c>
    </row>
    <row r="586" spans="1:5" x14ac:dyDescent="0.2">
      <c r="A586" t="s">
        <v>600</v>
      </c>
      <c r="B586" t="s">
        <v>33</v>
      </c>
      <c r="C586">
        <v>1</v>
      </c>
      <c r="D586">
        <v>1</v>
      </c>
      <c r="E586">
        <v>4</v>
      </c>
    </row>
    <row r="587" spans="1:5" x14ac:dyDescent="0.2">
      <c r="A587" t="s">
        <v>601</v>
      </c>
      <c r="B587" t="s">
        <v>33</v>
      </c>
      <c r="C587">
        <v>1</v>
      </c>
      <c r="D587">
        <v>1</v>
      </c>
      <c r="E587">
        <v>5</v>
      </c>
    </row>
    <row r="588" spans="1:5" x14ac:dyDescent="0.2">
      <c r="A588" t="s">
        <v>602</v>
      </c>
      <c r="B588" t="s">
        <v>16</v>
      </c>
      <c r="C588">
        <v>1</v>
      </c>
      <c r="D588">
        <v>1</v>
      </c>
      <c r="E588">
        <v>3</v>
      </c>
    </row>
    <row r="589" spans="1:5" x14ac:dyDescent="0.2">
      <c r="A589" t="s">
        <v>603</v>
      </c>
      <c r="B589" t="s">
        <v>38</v>
      </c>
      <c r="C589">
        <v>1</v>
      </c>
      <c r="D589">
        <v>1</v>
      </c>
      <c r="E589">
        <v>2</v>
      </c>
    </row>
    <row r="590" spans="1:5" x14ac:dyDescent="0.2">
      <c r="A590" t="s">
        <v>604</v>
      </c>
      <c r="B590" t="s">
        <v>21</v>
      </c>
      <c r="C590">
        <v>1</v>
      </c>
      <c r="D590">
        <v>1</v>
      </c>
      <c r="E590">
        <v>4</v>
      </c>
    </row>
    <row r="591" spans="1:5" x14ac:dyDescent="0.2">
      <c r="A591" t="s">
        <v>605</v>
      </c>
      <c r="B591" t="s">
        <v>6</v>
      </c>
      <c r="C591">
        <v>1</v>
      </c>
      <c r="D591">
        <v>1</v>
      </c>
      <c r="E591">
        <v>2</v>
      </c>
    </row>
    <row r="592" spans="1:5" x14ac:dyDescent="0.2">
      <c r="A592" t="s">
        <v>606</v>
      </c>
      <c r="B592" t="s">
        <v>6</v>
      </c>
      <c r="C592">
        <v>1</v>
      </c>
      <c r="D592">
        <v>0</v>
      </c>
      <c r="E592">
        <v>1</v>
      </c>
    </row>
    <row r="593" spans="1:5" x14ac:dyDescent="0.2">
      <c r="A593" t="s">
        <v>607</v>
      </c>
      <c r="B593" t="s">
        <v>38</v>
      </c>
      <c r="C593">
        <v>0</v>
      </c>
      <c r="D593">
        <v>1</v>
      </c>
      <c r="E593">
        <v>5</v>
      </c>
    </row>
    <row r="594" spans="1:5" x14ac:dyDescent="0.2">
      <c r="A594" t="s">
        <v>608</v>
      </c>
      <c r="B594" t="s">
        <v>36</v>
      </c>
      <c r="C594">
        <v>0</v>
      </c>
      <c r="D594">
        <v>1</v>
      </c>
      <c r="E594">
        <v>1</v>
      </c>
    </row>
    <row r="595" spans="1:5" x14ac:dyDescent="0.2">
      <c r="A595" t="s">
        <v>609</v>
      </c>
      <c r="B595" t="s">
        <v>14</v>
      </c>
      <c r="C595">
        <v>0</v>
      </c>
      <c r="D595">
        <v>0</v>
      </c>
      <c r="E595">
        <v>1</v>
      </c>
    </row>
    <row r="596" spans="1:5" x14ac:dyDescent="0.2">
      <c r="A596" t="s">
        <v>610</v>
      </c>
      <c r="B596" t="s">
        <v>10</v>
      </c>
      <c r="C596">
        <v>0</v>
      </c>
      <c r="D596">
        <v>1</v>
      </c>
      <c r="E596">
        <v>3</v>
      </c>
    </row>
    <row r="597" spans="1:5" x14ac:dyDescent="0.2">
      <c r="A597" t="s">
        <v>611</v>
      </c>
      <c r="B597" t="s">
        <v>8</v>
      </c>
      <c r="C597">
        <v>1</v>
      </c>
      <c r="D597">
        <v>1</v>
      </c>
      <c r="E597">
        <v>1</v>
      </c>
    </row>
    <row r="598" spans="1:5" x14ac:dyDescent="0.2">
      <c r="A598" t="s">
        <v>612</v>
      </c>
      <c r="B598" t="s">
        <v>6</v>
      </c>
      <c r="C598">
        <v>0</v>
      </c>
      <c r="D598">
        <v>0</v>
      </c>
      <c r="E598">
        <v>2</v>
      </c>
    </row>
    <row r="599" spans="1:5" x14ac:dyDescent="0.2">
      <c r="A599" t="s">
        <v>613</v>
      </c>
      <c r="B599" t="s">
        <v>38</v>
      </c>
      <c r="C599">
        <v>1</v>
      </c>
      <c r="D599">
        <v>1</v>
      </c>
      <c r="E599">
        <v>4</v>
      </c>
    </row>
    <row r="600" spans="1:5" x14ac:dyDescent="0.2">
      <c r="A600" t="s">
        <v>614</v>
      </c>
      <c r="B600" t="s">
        <v>8</v>
      </c>
      <c r="C600">
        <v>0</v>
      </c>
      <c r="D600">
        <v>1</v>
      </c>
      <c r="E600">
        <v>3</v>
      </c>
    </row>
    <row r="601" spans="1:5" x14ac:dyDescent="0.2">
      <c r="A601" t="s">
        <v>615</v>
      </c>
      <c r="B601" t="s">
        <v>33</v>
      </c>
      <c r="C601">
        <v>0</v>
      </c>
      <c r="D601">
        <v>1</v>
      </c>
      <c r="E601">
        <v>1</v>
      </c>
    </row>
    <row r="602" spans="1:5" x14ac:dyDescent="0.2">
      <c r="A602" t="s">
        <v>616</v>
      </c>
      <c r="B602" t="s">
        <v>6</v>
      </c>
      <c r="C602">
        <v>0</v>
      </c>
      <c r="D602">
        <v>0</v>
      </c>
      <c r="E602">
        <v>1</v>
      </c>
    </row>
    <row r="603" spans="1:5" x14ac:dyDescent="0.2">
      <c r="A603" t="s">
        <v>617</v>
      </c>
      <c r="B603" t="s">
        <v>21</v>
      </c>
      <c r="C603">
        <v>0</v>
      </c>
      <c r="D603">
        <v>0</v>
      </c>
      <c r="E603">
        <v>3</v>
      </c>
    </row>
    <row r="604" spans="1:5" x14ac:dyDescent="0.2">
      <c r="A604" t="s">
        <v>618</v>
      </c>
      <c r="B604" t="s">
        <v>125</v>
      </c>
      <c r="C604">
        <v>1</v>
      </c>
      <c r="D604">
        <v>1</v>
      </c>
      <c r="E604">
        <v>1</v>
      </c>
    </row>
    <row r="605" spans="1:5" x14ac:dyDescent="0.2">
      <c r="A605" t="s">
        <v>619</v>
      </c>
      <c r="B605" t="s">
        <v>10</v>
      </c>
      <c r="C605">
        <v>1</v>
      </c>
      <c r="D605">
        <v>1</v>
      </c>
      <c r="E605">
        <v>4</v>
      </c>
    </row>
    <row r="606" spans="1:5" x14ac:dyDescent="0.2">
      <c r="A606" t="s">
        <v>620</v>
      </c>
      <c r="B606" t="s">
        <v>36</v>
      </c>
      <c r="C606">
        <v>0</v>
      </c>
      <c r="D606">
        <v>1</v>
      </c>
      <c r="E606">
        <v>3</v>
      </c>
    </row>
    <row r="607" spans="1:5" x14ac:dyDescent="0.2">
      <c r="A607" t="s">
        <v>621</v>
      </c>
      <c r="B607" t="s">
        <v>21</v>
      </c>
      <c r="C607">
        <v>1</v>
      </c>
      <c r="D607">
        <v>1</v>
      </c>
      <c r="E607">
        <v>2</v>
      </c>
    </row>
    <row r="608" spans="1:5" x14ac:dyDescent="0.2">
      <c r="A608" t="s">
        <v>622</v>
      </c>
      <c r="B608" t="s">
        <v>33</v>
      </c>
      <c r="C608">
        <v>1</v>
      </c>
      <c r="D608">
        <v>0</v>
      </c>
      <c r="E608">
        <v>2</v>
      </c>
    </row>
    <row r="609" spans="1:5" x14ac:dyDescent="0.2">
      <c r="A609" t="s">
        <v>623</v>
      </c>
      <c r="B609" t="s">
        <v>38</v>
      </c>
      <c r="C609">
        <v>0</v>
      </c>
      <c r="D609">
        <v>1</v>
      </c>
      <c r="E609">
        <v>1</v>
      </c>
    </row>
    <row r="610" spans="1:5" x14ac:dyDescent="0.2">
      <c r="A610" t="s">
        <v>624</v>
      </c>
      <c r="B610" t="s">
        <v>33</v>
      </c>
      <c r="C610">
        <v>1</v>
      </c>
      <c r="D610">
        <v>1</v>
      </c>
      <c r="E610">
        <v>4</v>
      </c>
    </row>
    <row r="611" spans="1:5" x14ac:dyDescent="0.2">
      <c r="A611" t="s">
        <v>625</v>
      </c>
      <c r="B611" t="s">
        <v>33</v>
      </c>
      <c r="C611">
        <v>1</v>
      </c>
      <c r="D611">
        <v>0</v>
      </c>
      <c r="E611">
        <v>1</v>
      </c>
    </row>
    <row r="612" spans="1:5" x14ac:dyDescent="0.2">
      <c r="A612" t="s">
        <v>626</v>
      </c>
      <c r="B612" t="s">
        <v>33</v>
      </c>
      <c r="C612">
        <v>0</v>
      </c>
      <c r="D612">
        <v>1</v>
      </c>
      <c r="E612">
        <v>5</v>
      </c>
    </row>
    <row r="613" spans="1:5" x14ac:dyDescent="0.2">
      <c r="A613" t="s">
        <v>627</v>
      </c>
      <c r="B613" t="s">
        <v>21</v>
      </c>
      <c r="C613">
        <v>0</v>
      </c>
      <c r="D613">
        <v>0</v>
      </c>
      <c r="E613">
        <v>1</v>
      </c>
    </row>
    <row r="614" spans="1:5" x14ac:dyDescent="0.2">
      <c r="A614" t="s">
        <v>628</v>
      </c>
      <c r="B614" t="s">
        <v>33</v>
      </c>
      <c r="C614">
        <v>0</v>
      </c>
      <c r="D614">
        <v>0</v>
      </c>
      <c r="E614">
        <v>4</v>
      </c>
    </row>
    <row r="615" spans="1:5" x14ac:dyDescent="0.2">
      <c r="A615" t="s">
        <v>629</v>
      </c>
      <c r="B615" t="s">
        <v>21</v>
      </c>
      <c r="C615">
        <v>0</v>
      </c>
      <c r="D615">
        <v>0</v>
      </c>
      <c r="E615">
        <v>4</v>
      </c>
    </row>
    <row r="616" spans="1:5" x14ac:dyDescent="0.2">
      <c r="A616" t="s">
        <v>630</v>
      </c>
      <c r="B616" t="s">
        <v>36</v>
      </c>
      <c r="C616">
        <v>1</v>
      </c>
      <c r="D616">
        <v>1</v>
      </c>
      <c r="E616">
        <v>3</v>
      </c>
    </row>
    <row r="617" spans="1:5" x14ac:dyDescent="0.2">
      <c r="A617" t="s">
        <v>631</v>
      </c>
      <c r="B617" t="s">
        <v>36</v>
      </c>
      <c r="C617">
        <v>0</v>
      </c>
      <c r="D617">
        <v>1</v>
      </c>
      <c r="E617">
        <v>5</v>
      </c>
    </row>
    <row r="618" spans="1:5" x14ac:dyDescent="0.2">
      <c r="A618" t="s">
        <v>632</v>
      </c>
      <c r="B618" t="s">
        <v>12</v>
      </c>
      <c r="C618">
        <v>0</v>
      </c>
      <c r="D618">
        <v>1</v>
      </c>
      <c r="E618">
        <v>1</v>
      </c>
    </row>
    <row r="619" spans="1:5" x14ac:dyDescent="0.2">
      <c r="A619" t="s">
        <v>633</v>
      </c>
      <c r="B619" t="s">
        <v>36</v>
      </c>
      <c r="C619">
        <v>0</v>
      </c>
      <c r="D619">
        <v>1</v>
      </c>
      <c r="E619">
        <v>5</v>
      </c>
    </row>
    <row r="620" spans="1:5" x14ac:dyDescent="0.2">
      <c r="A620" t="s">
        <v>634</v>
      </c>
      <c r="B620" t="s">
        <v>16</v>
      </c>
      <c r="C620">
        <v>0</v>
      </c>
      <c r="D620">
        <v>1</v>
      </c>
      <c r="E620">
        <v>4</v>
      </c>
    </row>
    <row r="621" spans="1:5" x14ac:dyDescent="0.2">
      <c r="A621" t="s">
        <v>635</v>
      </c>
      <c r="B621" t="s">
        <v>10</v>
      </c>
      <c r="C621">
        <v>0</v>
      </c>
      <c r="D621">
        <v>0</v>
      </c>
      <c r="E621">
        <v>2</v>
      </c>
    </row>
    <row r="622" spans="1:5" x14ac:dyDescent="0.2">
      <c r="A622" t="s">
        <v>636</v>
      </c>
      <c r="B622" t="s">
        <v>10</v>
      </c>
      <c r="C622">
        <v>0</v>
      </c>
      <c r="D622">
        <v>1</v>
      </c>
      <c r="E622">
        <v>2</v>
      </c>
    </row>
    <row r="623" spans="1:5" x14ac:dyDescent="0.2">
      <c r="A623" t="s">
        <v>637</v>
      </c>
      <c r="B623" t="s">
        <v>12</v>
      </c>
      <c r="C623">
        <v>1</v>
      </c>
      <c r="D623">
        <v>0</v>
      </c>
      <c r="E623">
        <v>1</v>
      </c>
    </row>
    <row r="624" spans="1:5" x14ac:dyDescent="0.2">
      <c r="A624" t="s">
        <v>638</v>
      </c>
      <c r="B624" t="s">
        <v>33</v>
      </c>
      <c r="C624">
        <v>0</v>
      </c>
      <c r="D624">
        <v>1</v>
      </c>
      <c r="E624">
        <v>1</v>
      </c>
    </row>
    <row r="625" spans="1:5" x14ac:dyDescent="0.2">
      <c r="A625" t="s">
        <v>639</v>
      </c>
      <c r="B625" t="s">
        <v>14</v>
      </c>
      <c r="C625">
        <v>0</v>
      </c>
      <c r="D625">
        <v>0</v>
      </c>
      <c r="E625">
        <v>4</v>
      </c>
    </row>
    <row r="626" spans="1:5" x14ac:dyDescent="0.2">
      <c r="A626" t="s">
        <v>640</v>
      </c>
      <c r="B626" t="s">
        <v>6</v>
      </c>
      <c r="C626">
        <v>1</v>
      </c>
      <c r="D626">
        <v>0</v>
      </c>
      <c r="E626">
        <v>3</v>
      </c>
    </row>
    <row r="627" spans="1:5" x14ac:dyDescent="0.2">
      <c r="A627" t="s">
        <v>641</v>
      </c>
      <c r="B627" t="s">
        <v>8</v>
      </c>
      <c r="C627">
        <v>0</v>
      </c>
      <c r="D627">
        <v>0</v>
      </c>
      <c r="E627">
        <v>4</v>
      </c>
    </row>
    <row r="628" spans="1:5" x14ac:dyDescent="0.2">
      <c r="A628" t="s">
        <v>642</v>
      </c>
      <c r="B628" t="s">
        <v>36</v>
      </c>
      <c r="C628">
        <v>1</v>
      </c>
      <c r="D628">
        <v>0</v>
      </c>
      <c r="E628">
        <v>5</v>
      </c>
    </row>
    <row r="629" spans="1:5" x14ac:dyDescent="0.2">
      <c r="A629" t="s">
        <v>643</v>
      </c>
      <c r="B629" t="s">
        <v>38</v>
      </c>
      <c r="C629">
        <v>1</v>
      </c>
      <c r="D629">
        <v>1</v>
      </c>
      <c r="E629">
        <v>5</v>
      </c>
    </row>
    <row r="630" spans="1:5" x14ac:dyDescent="0.2">
      <c r="A630" t="s">
        <v>644</v>
      </c>
      <c r="B630" t="s">
        <v>10</v>
      </c>
      <c r="C630">
        <v>1</v>
      </c>
      <c r="D630">
        <v>0</v>
      </c>
      <c r="E630">
        <v>5</v>
      </c>
    </row>
    <row r="631" spans="1:5" x14ac:dyDescent="0.2">
      <c r="A631" t="s">
        <v>645</v>
      </c>
      <c r="B631" t="s">
        <v>16</v>
      </c>
      <c r="C631">
        <v>0</v>
      </c>
      <c r="D631">
        <v>0</v>
      </c>
      <c r="E631">
        <v>5</v>
      </c>
    </row>
    <row r="632" spans="1:5" x14ac:dyDescent="0.2">
      <c r="A632" t="s">
        <v>646</v>
      </c>
      <c r="B632" t="s">
        <v>14</v>
      </c>
      <c r="C632">
        <v>0</v>
      </c>
      <c r="D632">
        <v>0</v>
      </c>
      <c r="E632">
        <v>2</v>
      </c>
    </row>
    <row r="633" spans="1:5" x14ac:dyDescent="0.2">
      <c r="A633" t="s">
        <v>647</v>
      </c>
      <c r="B633" t="s">
        <v>125</v>
      </c>
      <c r="C633">
        <v>1</v>
      </c>
      <c r="D633">
        <v>1</v>
      </c>
      <c r="E633">
        <v>1</v>
      </c>
    </row>
    <row r="634" spans="1:5" x14ac:dyDescent="0.2">
      <c r="A634" t="s">
        <v>648</v>
      </c>
      <c r="B634" t="s">
        <v>38</v>
      </c>
      <c r="C634">
        <v>1</v>
      </c>
      <c r="D634">
        <v>1</v>
      </c>
      <c r="E634">
        <v>4</v>
      </c>
    </row>
    <row r="635" spans="1:5" x14ac:dyDescent="0.2">
      <c r="A635" t="s">
        <v>649</v>
      </c>
      <c r="B635" t="s">
        <v>14</v>
      </c>
      <c r="C635">
        <v>0</v>
      </c>
      <c r="D635">
        <v>1</v>
      </c>
      <c r="E635">
        <v>2</v>
      </c>
    </row>
    <row r="636" spans="1:5" x14ac:dyDescent="0.2">
      <c r="A636" t="s">
        <v>650</v>
      </c>
      <c r="B636" t="s">
        <v>16</v>
      </c>
      <c r="C636">
        <v>1</v>
      </c>
      <c r="D636">
        <v>1</v>
      </c>
      <c r="E636">
        <v>2</v>
      </c>
    </row>
    <row r="637" spans="1:5" x14ac:dyDescent="0.2">
      <c r="A637" t="s">
        <v>651</v>
      </c>
      <c r="B637" t="s">
        <v>10</v>
      </c>
      <c r="C637">
        <v>0</v>
      </c>
      <c r="D637">
        <v>0</v>
      </c>
      <c r="E637">
        <v>5</v>
      </c>
    </row>
    <row r="638" spans="1:5" x14ac:dyDescent="0.2">
      <c r="A638" t="s">
        <v>652</v>
      </c>
      <c r="B638" t="s">
        <v>21</v>
      </c>
      <c r="C638">
        <v>0</v>
      </c>
      <c r="D638">
        <v>0</v>
      </c>
      <c r="E638">
        <v>5</v>
      </c>
    </row>
    <row r="639" spans="1:5" x14ac:dyDescent="0.2">
      <c r="A639" t="s">
        <v>653</v>
      </c>
      <c r="B639" t="s">
        <v>14</v>
      </c>
      <c r="C639">
        <v>1</v>
      </c>
      <c r="D639">
        <v>1</v>
      </c>
      <c r="E639">
        <v>3</v>
      </c>
    </row>
    <row r="640" spans="1:5" x14ac:dyDescent="0.2">
      <c r="A640" t="s">
        <v>654</v>
      </c>
      <c r="B640" t="s">
        <v>10</v>
      </c>
      <c r="C640">
        <v>0</v>
      </c>
      <c r="D640">
        <v>0</v>
      </c>
      <c r="E640">
        <v>1</v>
      </c>
    </row>
    <row r="641" spans="1:5" x14ac:dyDescent="0.2">
      <c r="A641" t="s">
        <v>655</v>
      </c>
      <c r="B641" t="s">
        <v>6</v>
      </c>
      <c r="C641">
        <v>1</v>
      </c>
      <c r="D641">
        <v>1</v>
      </c>
      <c r="E641">
        <v>2</v>
      </c>
    </row>
    <row r="642" spans="1:5" x14ac:dyDescent="0.2">
      <c r="A642" t="s">
        <v>656</v>
      </c>
      <c r="B642" t="s">
        <v>16</v>
      </c>
      <c r="C642">
        <v>0</v>
      </c>
      <c r="D642">
        <v>0</v>
      </c>
      <c r="E642">
        <v>3</v>
      </c>
    </row>
    <row r="643" spans="1:5" x14ac:dyDescent="0.2">
      <c r="A643" t="s">
        <v>657</v>
      </c>
      <c r="B643" t="s">
        <v>10</v>
      </c>
      <c r="C643">
        <v>1</v>
      </c>
      <c r="D643">
        <v>0</v>
      </c>
      <c r="E643">
        <v>1</v>
      </c>
    </row>
    <row r="644" spans="1:5" x14ac:dyDescent="0.2">
      <c r="A644" t="s">
        <v>658</v>
      </c>
      <c r="B644" t="s">
        <v>38</v>
      </c>
      <c r="C644">
        <v>0</v>
      </c>
      <c r="D644">
        <v>0</v>
      </c>
      <c r="E644">
        <v>2</v>
      </c>
    </row>
    <row r="645" spans="1:5" x14ac:dyDescent="0.2">
      <c r="A645" t="s">
        <v>659</v>
      </c>
      <c r="B645" t="s">
        <v>12</v>
      </c>
      <c r="C645">
        <v>0</v>
      </c>
      <c r="D645">
        <v>0</v>
      </c>
      <c r="E645">
        <v>2</v>
      </c>
    </row>
    <row r="646" spans="1:5" x14ac:dyDescent="0.2">
      <c r="A646" t="s">
        <v>660</v>
      </c>
      <c r="B646" t="s">
        <v>10</v>
      </c>
      <c r="C646">
        <v>1</v>
      </c>
      <c r="D646">
        <v>1</v>
      </c>
      <c r="E646">
        <v>2</v>
      </c>
    </row>
    <row r="647" spans="1:5" x14ac:dyDescent="0.2">
      <c r="A647" t="s">
        <v>661</v>
      </c>
      <c r="B647" t="s">
        <v>38</v>
      </c>
      <c r="C647">
        <v>1</v>
      </c>
      <c r="D647">
        <v>0</v>
      </c>
      <c r="E647">
        <v>3</v>
      </c>
    </row>
    <row r="648" spans="1:5" x14ac:dyDescent="0.2">
      <c r="A648" t="s">
        <v>662</v>
      </c>
      <c r="B648" t="s">
        <v>14</v>
      </c>
      <c r="C648">
        <v>1</v>
      </c>
      <c r="D648">
        <v>1</v>
      </c>
      <c r="E648">
        <v>3</v>
      </c>
    </row>
    <row r="649" spans="1:5" x14ac:dyDescent="0.2">
      <c r="A649" t="s">
        <v>663</v>
      </c>
      <c r="B649" t="s">
        <v>36</v>
      </c>
      <c r="C649">
        <v>1</v>
      </c>
      <c r="D649">
        <v>1</v>
      </c>
      <c r="E649">
        <v>1</v>
      </c>
    </row>
    <row r="650" spans="1:5" x14ac:dyDescent="0.2">
      <c r="A650" t="s">
        <v>664</v>
      </c>
      <c r="B650" t="s">
        <v>10</v>
      </c>
      <c r="C650">
        <v>0</v>
      </c>
      <c r="D650">
        <v>0</v>
      </c>
      <c r="E650">
        <v>4</v>
      </c>
    </row>
    <row r="651" spans="1:5" x14ac:dyDescent="0.2">
      <c r="A651" t="s">
        <v>665</v>
      </c>
      <c r="B651" t="s">
        <v>10</v>
      </c>
      <c r="C651">
        <v>1</v>
      </c>
      <c r="D651">
        <v>1</v>
      </c>
      <c r="E651">
        <v>3</v>
      </c>
    </row>
    <row r="652" spans="1:5" x14ac:dyDescent="0.2">
      <c r="A652" t="s">
        <v>666</v>
      </c>
      <c r="B652" t="s">
        <v>36</v>
      </c>
      <c r="C652">
        <v>0</v>
      </c>
      <c r="D652">
        <v>1</v>
      </c>
      <c r="E652">
        <v>1</v>
      </c>
    </row>
    <row r="653" spans="1:5" x14ac:dyDescent="0.2">
      <c r="A653" t="s">
        <v>667</v>
      </c>
      <c r="B653" t="s">
        <v>36</v>
      </c>
      <c r="C653">
        <v>1</v>
      </c>
      <c r="D653">
        <v>1</v>
      </c>
      <c r="E653">
        <v>4</v>
      </c>
    </row>
    <row r="654" spans="1:5" x14ac:dyDescent="0.2">
      <c r="A654" t="s">
        <v>668</v>
      </c>
      <c r="B654" t="s">
        <v>16</v>
      </c>
      <c r="C654">
        <v>0</v>
      </c>
      <c r="D654">
        <v>0</v>
      </c>
      <c r="E654">
        <v>5</v>
      </c>
    </row>
    <row r="655" spans="1:5" x14ac:dyDescent="0.2">
      <c r="A655" t="s">
        <v>669</v>
      </c>
      <c r="B655" t="s">
        <v>12</v>
      </c>
      <c r="C655">
        <v>0</v>
      </c>
      <c r="D655">
        <v>1</v>
      </c>
      <c r="E655">
        <v>2</v>
      </c>
    </row>
    <row r="656" spans="1:5" x14ac:dyDescent="0.2">
      <c r="A656" t="s">
        <v>670</v>
      </c>
      <c r="B656" t="s">
        <v>10</v>
      </c>
      <c r="C656">
        <v>0</v>
      </c>
      <c r="D656">
        <v>1</v>
      </c>
      <c r="E656">
        <v>1</v>
      </c>
    </row>
    <row r="657" spans="1:5" x14ac:dyDescent="0.2">
      <c r="A657" t="s">
        <v>671</v>
      </c>
      <c r="B657" t="s">
        <v>33</v>
      </c>
      <c r="C657">
        <v>1</v>
      </c>
      <c r="D657">
        <v>1</v>
      </c>
      <c r="E657">
        <v>4</v>
      </c>
    </row>
    <row r="658" spans="1:5" x14ac:dyDescent="0.2">
      <c r="A658" t="s">
        <v>672</v>
      </c>
      <c r="B658" t="s">
        <v>8</v>
      </c>
      <c r="C658">
        <v>0</v>
      </c>
      <c r="D658">
        <v>0</v>
      </c>
      <c r="E658">
        <v>2</v>
      </c>
    </row>
    <row r="659" spans="1:5" x14ac:dyDescent="0.2">
      <c r="A659" t="s">
        <v>673</v>
      </c>
      <c r="B659" t="s">
        <v>12</v>
      </c>
      <c r="C659">
        <v>1</v>
      </c>
      <c r="D659">
        <v>1</v>
      </c>
      <c r="E659">
        <v>3</v>
      </c>
    </row>
    <row r="660" spans="1:5" x14ac:dyDescent="0.2">
      <c r="A660" t="s">
        <v>674</v>
      </c>
      <c r="B660" t="s">
        <v>16</v>
      </c>
      <c r="C660">
        <v>0</v>
      </c>
      <c r="D660">
        <v>1</v>
      </c>
      <c r="E660">
        <v>1</v>
      </c>
    </row>
    <row r="661" spans="1:5" x14ac:dyDescent="0.2">
      <c r="A661" t="s">
        <v>675</v>
      </c>
      <c r="B661" t="s">
        <v>21</v>
      </c>
      <c r="C661">
        <v>1</v>
      </c>
      <c r="D661">
        <v>0</v>
      </c>
      <c r="E661">
        <v>2</v>
      </c>
    </row>
    <row r="662" spans="1:5" x14ac:dyDescent="0.2">
      <c r="A662" t="s">
        <v>676</v>
      </c>
      <c r="B662" t="s">
        <v>38</v>
      </c>
      <c r="C662">
        <v>0</v>
      </c>
      <c r="D662">
        <v>1</v>
      </c>
      <c r="E662">
        <v>5</v>
      </c>
    </row>
    <row r="663" spans="1:5" x14ac:dyDescent="0.2">
      <c r="A663" t="s">
        <v>677</v>
      </c>
      <c r="B663" t="s">
        <v>14</v>
      </c>
      <c r="C663">
        <v>0</v>
      </c>
      <c r="D663">
        <v>1</v>
      </c>
      <c r="E663">
        <v>4</v>
      </c>
    </row>
    <row r="664" spans="1:5" x14ac:dyDescent="0.2">
      <c r="A664" t="s">
        <v>678</v>
      </c>
      <c r="B664" t="s">
        <v>6</v>
      </c>
      <c r="C664">
        <v>0</v>
      </c>
      <c r="D664">
        <v>1</v>
      </c>
      <c r="E664">
        <v>3</v>
      </c>
    </row>
    <row r="665" spans="1:5" x14ac:dyDescent="0.2">
      <c r="A665" t="s">
        <v>679</v>
      </c>
      <c r="B665" t="s">
        <v>14</v>
      </c>
      <c r="C665">
        <v>0</v>
      </c>
      <c r="D665">
        <v>0</v>
      </c>
      <c r="E665">
        <v>5</v>
      </c>
    </row>
    <row r="666" spans="1:5" x14ac:dyDescent="0.2">
      <c r="A666" t="s">
        <v>680</v>
      </c>
      <c r="B666" t="s">
        <v>6</v>
      </c>
      <c r="C666">
        <v>1</v>
      </c>
      <c r="D666">
        <v>1</v>
      </c>
      <c r="E666">
        <v>1</v>
      </c>
    </row>
    <row r="667" spans="1:5" x14ac:dyDescent="0.2">
      <c r="A667" t="s">
        <v>681</v>
      </c>
      <c r="B667" t="s">
        <v>38</v>
      </c>
      <c r="C667">
        <v>1</v>
      </c>
      <c r="D667">
        <v>1</v>
      </c>
      <c r="E667">
        <v>1</v>
      </c>
    </row>
    <row r="668" spans="1:5" x14ac:dyDescent="0.2">
      <c r="A668" t="s">
        <v>682</v>
      </c>
      <c r="B668" t="s">
        <v>10</v>
      </c>
      <c r="C668">
        <v>0</v>
      </c>
      <c r="D668">
        <v>0</v>
      </c>
      <c r="E668">
        <v>4</v>
      </c>
    </row>
    <row r="669" spans="1:5" x14ac:dyDescent="0.2">
      <c r="A669" t="s">
        <v>683</v>
      </c>
      <c r="B669" t="s">
        <v>21</v>
      </c>
      <c r="C669">
        <v>0</v>
      </c>
      <c r="D669">
        <v>0</v>
      </c>
      <c r="E669">
        <v>3</v>
      </c>
    </row>
    <row r="670" spans="1:5" x14ac:dyDescent="0.2">
      <c r="A670" t="s">
        <v>684</v>
      </c>
      <c r="B670" t="s">
        <v>36</v>
      </c>
      <c r="C670">
        <v>0</v>
      </c>
      <c r="D670">
        <v>1</v>
      </c>
      <c r="E670">
        <v>4</v>
      </c>
    </row>
    <row r="671" spans="1:5" x14ac:dyDescent="0.2">
      <c r="A671" t="s">
        <v>685</v>
      </c>
      <c r="B671" t="s">
        <v>12</v>
      </c>
      <c r="C671">
        <v>0</v>
      </c>
      <c r="D671">
        <v>0</v>
      </c>
      <c r="E671">
        <v>5</v>
      </c>
    </row>
    <row r="672" spans="1:5" x14ac:dyDescent="0.2">
      <c r="A672" t="s">
        <v>686</v>
      </c>
      <c r="B672" t="s">
        <v>10</v>
      </c>
      <c r="C672">
        <v>1</v>
      </c>
      <c r="D672">
        <v>1</v>
      </c>
      <c r="E672">
        <v>1</v>
      </c>
    </row>
    <row r="673" spans="1:5" x14ac:dyDescent="0.2">
      <c r="A673" t="s">
        <v>687</v>
      </c>
      <c r="B673" t="s">
        <v>33</v>
      </c>
      <c r="C673">
        <v>1</v>
      </c>
      <c r="D673">
        <v>1</v>
      </c>
      <c r="E673">
        <v>5</v>
      </c>
    </row>
    <row r="674" spans="1:5" x14ac:dyDescent="0.2">
      <c r="A674" t="s">
        <v>688</v>
      </c>
      <c r="B674" t="s">
        <v>125</v>
      </c>
      <c r="C674">
        <v>1</v>
      </c>
      <c r="D674">
        <v>1</v>
      </c>
      <c r="E674">
        <v>1</v>
      </c>
    </row>
    <row r="675" spans="1:5" x14ac:dyDescent="0.2">
      <c r="A675" t="s">
        <v>689</v>
      </c>
      <c r="B675" t="s">
        <v>12</v>
      </c>
      <c r="C675">
        <v>1</v>
      </c>
      <c r="D675">
        <v>1</v>
      </c>
      <c r="E675">
        <v>1</v>
      </c>
    </row>
    <row r="676" spans="1:5" x14ac:dyDescent="0.2">
      <c r="A676" t="s">
        <v>690</v>
      </c>
      <c r="B676" t="s">
        <v>33</v>
      </c>
      <c r="C676">
        <v>1</v>
      </c>
      <c r="D676">
        <v>0</v>
      </c>
      <c r="E676">
        <v>3</v>
      </c>
    </row>
    <row r="677" spans="1:5" x14ac:dyDescent="0.2">
      <c r="A677" t="s">
        <v>691</v>
      </c>
      <c r="B677" t="s">
        <v>10</v>
      </c>
      <c r="C677">
        <v>1</v>
      </c>
      <c r="D677">
        <v>0</v>
      </c>
      <c r="E677">
        <v>2</v>
      </c>
    </row>
    <row r="678" spans="1:5" x14ac:dyDescent="0.2">
      <c r="A678" t="s">
        <v>692</v>
      </c>
      <c r="B678" t="s">
        <v>12</v>
      </c>
      <c r="C678">
        <v>0</v>
      </c>
      <c r="D678">
        <v>1</v>
      </c>
      <c r="E678">
        <v>4</v>
      </c>
    </row>
    <row r="679" spans="1:5" x14ac:dyDescent="0.2">
      <c r="A679" t="s">
        <v>693</v>
      </c>
      <c r="B679" t="s">
        <v>38</v>
      </c>
      <c r="C679">
        <v>0</v>
      </c>
      <c r="D679">
        <v>1</v>
      </c>
      <c r="E679">
        <v>3</v>
      </c>
    </row>
    <row r="680" spans="1:5" x14ac:dyDescent="0.2">
      <c r="A680" t="s">
        <v>694</v>
      </c>
      <c r="B680" t="s">
        <v>21</v>
      </c>
      <c r="C680">
        <v>0</v>
      </c>
      <c r="D680">
        <v>0</v>
      </c>
      <c r="E680">
        <v>3</v>
      </c>
    </row>
    <row r="681" spans="1:5" x14ac:dyDescent="0.2">
      <c r="A681" t="s">
        <v>695</v>
      </c>
      <c r="B681" t="s">
        <v>12</v>
      </c>
      <c r="C681">
        <v>1</v>
      </c>
      <c r="D681">
        <v>0</v>
      </c>
      <c r="E681">
        <v>1</v>
      </c>
    </row>
    <row r="682" spans="1:5" x14ac:dyDescent="0.2">
      <c r="A682" t="s">
        <v>696</v>
      </c>
      <c r="B682" t="s">
        <v>10</v>
      </c>
      <c r="C682">
        <v>1</v>
      </c>
      <c r="D682">
        <v>0</v>
      </c>
      <c r="E682">
        <v>4</v>
      </c>
    </row>
    <row r="683" spans="1:5" x14ac:dyDescent="0.2">
      <c r="A683" t="s">
        <v>697</v>
      </c>
      <c r="B683" t="s">
        <v>33</v>
      </c>
      <c r="C683">
        <v>0</v>
      </c>
      <c r="D683">
        <v>0</v>
      </c>
      <c r="E683">
        <v>4</v>
      </c>
    </row>
    <row r="684" spans="1:5" x14ac:dyDescent="0.2">
      <c r="A684" t="s">
        <v>698</v>
      </c>
      <c r="B684" t="s">
        <v>16</v>
      </c>
      <c r="C684">
        <v>1</v>
      </c>
      <c r="D684">
        <v>0</v>
      </c>
      <c r="E684">
        <v>5</v>
      </c>
    </row>
    <row r="685" spans="1:5" x14ac:dyDescent="0.2">
      <c r="A685" t="s">
        <v>699</v>
      </c>
      <c r="B685" t="s">
        <v>36</v>
      </c>
      <c r="C685">
        <v>1</v>
      </c>
      <c r="D685">
        <v>1</v>
      </c>
      <c r="E685">
        <v>5</v>
      </c>
    </row>
    <row r="686" spans="1:5" x14ac:dyDescent="0.2">
      <c r="A686" t="s">
        <v>700</v>
      </c>
      <c r="B686" t="s">
        <v>10</v>
      </c>
      <c r="C686">
        <v>1</v>
      </c>
      <c r="D686">
        <v>1</v>
      </c>
      <c r="E686">
        <v>3</v>
      </c>
    </row>
    <row r="687" spans="1:5" x14ac:dyDescent="0.2">
      <c r="A687" t="s">
        <v>701</v>
      </c>
      <c r="B687" t="s">
        <v>16</v>
      </c>
      <c r="C687">
        <v>1</v>
      </c>
      <c r="D687">
        <v>1</v>
      </c>
      <c r="E687">
        <v>5</v>
      </c>
    </row>
    <row r="688" spans="1:5" x14ac:dyDescent="0.2">
      <c r="A688" t="s">
        <v>702</v>
      </c>
      <c r="B688" t="s">
        <v>12</v>
      </c>
      <c r="C688">
        <v>1</v>
      </c>
      <c r="D688">
        <v>1</v>
      </c>
      <c r="E688">
        <v>2</v>
      </c>
    </row>
    <row r="689" spans="1:5" x14ac:dyDescent="0.2">
      <c r="A689" t="s">
        <v>703</v>
      </c>
      <c r="B689" t="s">
        <v>12</v>
      </c>
      <c r="C689">
        <v>0</v>
      </c>
      <c r="D689">
        <v>1</v>
      </c>
      <c r="E689">
        <v>5</v>
      </c>
    </row>
    <row r="690" spans="1:5" x14ac:dyDescent="0.2">
      <c r="A690" t="s">
        <v>704</v>
      </c>
      <c r="B690" t="s">
        <v>36</v>
      </c>
      <c r="C690">
        <v>1</v>
      </c>
      <c r="D690">
        <v>0</v>
      </c>
      <c r="E690">
        <v>4</v>
      </c>
    </row>
    <row r="691" spans="1:5" x14ac:dyDescent="0.2">
      <c r="A691" t="s">
        <v>705</v>
      </c>
      <c r="B691" t="s">
        <v>38</v>
      </c>
      <c r="C691">
        <v>0</v>
      </c>
      <c r="D691">
        <v>0</v>
      </c>
      <c r="E691">
        <v>1</v>
      </c>
    </row>
    <row r="692" spans="1:5" x14ac:dyDescent="0.2">
      <c r="A692" t="s">
        <v>706</v>
      </c>
      <c r="B692" t="s">
        <v>36</v>
      </c>
      <c r="C692">
        <v>1</v>
      </c>
      <c r="D692">
        <v>1</v>
      </c>
      <c r="E692">
        <v>3</v>
      </c>
    </row>
    <row r="693" spans="1:5" x14ac:dyDescent="0.2">
      <c r="A693" t="s">
        <v>707</v>
      </c>
      <c r="B693" t="s">
        <v>33</v>
      </c>
      <c r="C693">
        <v>1</v>
      </c>
      <c r="D693">
        <v>0</v>
      </c>
      <c r="E693">
        <v>4</v>
      </c>
    </row>
    <row r="694" spans="1:5" x14ac:dyDescent="0.2">
      <c r="A694" t="s">
        <v>708</v>
      </c>
      <c r="B694" t="s">
        <v>38</v>
      </c>
      <c r="C694">
        <v>0</v>
      </c>
      <c r="D694">
        <v>1</v>
      </c>
      <c r="E694">
        <v>1</v>
      </c>
    </row>
    <row r="695" spans="1:5" x14ac:dyDescent="0.2">
      <c r="A695" t="s">
        <v>709</v>
      </c>
      <c r="B695" t="s">
        <v>12</v>
      </c>
      <c r="C695">
        <v>0</v>
      </c>
      <c r="D695">
        <v>1</v>
      </c>
      <c r="E695">
        <v>1</v>
      </c>
    </row>
    <row r="696" spans="1:5" x14ac:dyDescent="0.2">
      <c r="A696" t="s">
        <v>710</v>
      </c>
      <c r="B696" t="s">
        <v>12</v>
      </c>
      <c r="C696">
        <v>0</v>
      </c>
      <c r="D696">
        <v>0</v>
      </c>
      <c r="E696">
        <v>4</v>
      </c>
    </row>
    <row r="697" spans="1:5" x14ac:dyDescent="0.2">
      <c r="A697" t="s">
        <v>711</v>
      </c>
      <c r="B697" t="s">
        <v>21</v>
      </c>
      <c r="C697">
        <v>0</v>
      </c>
      <c r="D697">
        <v>0</v>
      </c>
      <c r="E697">
        <v>3</v>
      </c>
    </row>
    <row r="698" spans="1:5" x14ac:dyDescent="0.2">
      <c r="A698" t="s">
        <v>712</v>
      </c>
      <c r="B698" t="s">
        <v>10</v>
      </c>
      <c r="C698">
        <v>1</v>
      </c>
      <c r="D698">
        <v>0</v>
      </c>
      <c r="E698">
        <v>4</v>
      </c>
    </row>
    <row r="699" spans="1:5" x14ac:dyDescent="0.2">
      <c r="A699" t="s">
        <v>713</v>
      </c>
      <c r="B699" t="s">
        <v>36</v>
      </c>
      <c r="C699">
        <v>0</v>
      </c>
      <c r="D699">
        <v>1</v>
      </c>
      <c r="E699">
        <v>1</v>
      </c>
    </row>
    <row r="700" spans="1:5" x14ac:dyDescent="0.2">
      <c r="A700" t="s">
        <v>714</v>
      </c>
      <c r="B700" t="s">
        <v>10</v>
      </c>
      <c r="C700">
        <v>0</v>
      </c>
      <c r="D700">
        <v>0</v>
      </c>
      <c r="E700">
        <v>1</v>
      </c>
    </row>
    <row r="701" spans="1:5" x14ac:dyDescent="0.2">
      <c r="A701" t="s">
        <v>715</v>
      </c>
      <c r="B701" t="s">
        <v>6</v>
      </c>
      <c r="C701">
        <v>1</v>
      </c>
      <c r="D701">
        <v>0</v>
      </c>
      <c r="E701">
        <v>3</v>
      </c>
    </row>
    <row r="702" spans="1:5" x14ac:dyDescent="0.2">
      <c r="A702" t="s">
        <v>716</v>
      </c>
      <c r="B702" t="s">
        <v>8</v>
      </c>
      <c r="C702">
        <v>0</v>
      </c>
      <c r="D702">
        <v>0</v>
      </c>
      <c r="E702">
        <v>4</v>
      </c>
    </row>
    <row r="703" spans="1:5" x14ac:dyDescent="0.2">
      <c r="A703" t="s">
        <v>717</v>
      </c>
      <c r="B703" t="s">
        <v>12</v>
      </c>
      <c r="C703">
        <v>0</v>
      </c>
      <c r="D703">
        <v>1</v>
      </c>
      <c r="E703">
        <v>2</v>
      </c>
    </row>
    <row r="704" spans="1:5" x14ac:dyDescent="0.2">
      <c r="A704" t="s">
        <v>718</v>
      </c>
      <c r="B704" t="s">
        <v>36</v>
      </c>
      <c r="C704">
        <v>0</v>
      </c>
      <c r="D704">
        <v>1</v>
      </c>
      <c r="E704">
        <v>3</v>
      </c>
    </row>
    <row r="705" spans="1:5" x14ac:dyDescent="0.2">
      <c r="A705" t="s">
        <v>719</v>
      </c>
      <c r="B705" t="s">
        <v>12</v>
      </c>
      <c r="C705">
        <v>0</v>
      </c>
      <c r="D705">
        <v>0</v>
      </c>
      <c r="E705">
        <v>4</v>
      </c>
    </row>
    <row r="706" spans="1:5" x14ac:dyDescent="0.2">
      <c r="A706" t="s">
        <v>720</v>
      </c>
      <c r="B706" t="s">
        <v>12</v>
      </c>
      <c r="C706">
        <v>0</v>
      </c>
      <c r="D706">
        <v>1</v>
      </c>
      <c r="E706">
        <v>4</v>
      </c>
    </row>
    <row r="707" spans="1:5" x14ac:dyDescent="0.2">
      <c r="A707" t="s">
        <v>721</v>
      </c>
      <c r="B707" t="s">
        <v>16</v>
      </c>
      <c r="C707">
        <v>0</v>
      </c>
      <c r="D707">
        <v>0</v>
      </c>
      <c r="E707">
        <v>4</v>
      </c>
    </row>
    <row r="708" spans="1:5" x14ac:dyDescent="0.2">
      <c r="A708" t="s">
        <v>722</v>
      </c>
      <c r="B708" t="s">
        <v>10</v>
      </c>
      <c r="C708">
        <v>1</v>
      </c>
      <c r="D708">
        <v>1</v>
      </c>
      <c r="E708">
        <v>4</v>
      </c>
    </row>
    <row r="709" spans="1:5" x14ac:dyDescent="0.2">
      <c r="A709" t="s">
        <v>723</v>
      </c>
      <c r="B709" t="s">
        <v>12</v>
      </c>
      <c r="C709">
        <v>1</v>
      </c>
      <c r="D709">
        <v>1</v>
      </c>
      <c r="E709">
        <v>5</v>
      </c>
    </row>
    <row r="710" spans="1:5" x14ac:dyDescent="0.2">
      <c r="A710" t="s">
        <v>724</v>
      </c>
      <c r="B710" t="s">
        <v>6</v>
      </c>
      <c r="C710">
        <v>0</v>
      </c>
      <c r="D710">
        <v>0</v>
      </c>
      <c r="E710">
        <v>5</v>
      </c>
    </row>
    <row r="711" spans="1:5" x14ac:dyDescent="0.2">
      <c r="A711" t="s">
        <v>725</v>
      </c>
      <c r="B711" t="s">
        <v>6</v>
      </c>
      <c r="C711">
        <v>0</v>
      </c>
      <c r="D711">
        <v>0</v>
      </c>
      <c r="E711">
        <v>5</v>
      </c>
    </row>
    <row r="712" spans="1:5" x14ac:dyDescent="0.2">
      <c r="A712" t="s">
        <v>726</v>
      </c>
      <c r="B712" t="s">
        <v>33</v>
      </c>
      <c r="C712">
        <v>1</v>
      </c>
      <c r="D712">
        <v>0</v>
      </c>
      <c r="E712">
        <v>2</v>
      </c>
    </row>
    <row r="713" spans="1:5" x14ac:dyDescent="0.2">
      <c r="A713" t="s">
        <v>727</v>
      </c>
      <c r="B713" t="s">
        <v>33</v>
      </c>
      <c r="C713">
        <v>0</v>
      </c>
      <c r="D713">
        <v>0</v>
      </c>
      <c r="E713">
        <v>2</v>
      </c>
    </row>
    <row r="714" spans="1:5" x14ac:dyDescent="0.2">
      <c r="A714" t="s">
        <v>728</v>
      </c>
      <c r="B714" t="s">
        <v>12</v>
      </c>
      <c r="C714">
        <v>0</v>
      </c>
      <c r="D714">
        <v>0</v>
      </c>
      <c r="E714">
        <v>3</v>
      </c>
    </row>
    <row r="715" spans="1:5" x14ac:dyDescent="0.2">
      <c r="A715" t="s">
        <v>729</v>
      </c>
      <c r="B715" t="s">
        <v>12</v>
      </c>
      <c r="C715">
        <v>1</v>
      </c>
      <c r="D715">
        <v>1</v>
      </c>
      <c r="E715">
        <v>1</v>
      </c>
    </row>
    <row r="716" spans="1:5" x14ac:dyDescent="0.2">
      <c r="A716" t="s">
        <v>730</v>
      </c>
      <c r="B716" t="s">
        <v>14</v>
      </c>
      <c r="C716">
        <v>0</v>
      </c>
      <c r="D716">
        <v>0</v>
      </c>
      <c r="E716">
        <v>4</v>
      </c>
    </row>
    <row r="717" spans="1:5" x14ac:dyDescent="0.2">
      <c r="A717" t="s">
        <v>731</v>
      </c>
      <c r="B717" t="s">
        <v>6</v>
      </c>
      <c r="C717">
        <v>1</v>
      </c>
      <c r="D717">
        <v>0</v>
      </c>
      <c r="E717">
        <v>3</v>
      </c>
    </row>
    <row r="718" spans="1:5" x14ac:dyDescent="0.2">
      <c r="A718" t="s">
        <v>732</v>
      </c>
      <c r="B718" t="s">
        <v>12</v>
      </c>
      <c r="C718">
        <v>0</v>
      </c>
      <c r="D718">
        <v>1</v>
      </c>
      <c r="E718">
        <v>2</v>
      </c>
    </row>
    <row r="719" spans="1:5" x14ac:dyDescent="0.2">
      <c r="A719" t="s">
        <v>733</v>
      </c>
      <c r="B719" t="s">
        <v>6</v>
      </c>
      <c r="C719">
        <v>0</v>
      </c>
      <c r="D719">
        <v>0</v>
      </c>
      <c r="E719">
        <v>3</v>
      </c>
    </row>
    <row r="720" spans="1:5" x14ac:dyDescent="0.2">
      <c r="A720" t="s">
        <v>734</v>
      </c>
      <c r="B720" t="s">
        <v>12</v>
      </c>
      <c r="C720">
        <v>1</v>
      </c>
      <c r="D720">
        <v>0</v>
      </c>
      <c r="E720">
        <v>5</v>
      </c>
    </row>
    <row r="721" spans="1:5" x14ac:dyDescent="0.2">
      <c r="A721" t="s">
        <v>735</v>
      </c>
      <c r="B721" t="s">
        <v>38</v>
      </c>
      <c r="C721">
        <v>1</v>
      </c>
      <c r="D721">
        <v>1</v>
      </c>
      <c r="E721">
        <v>1</v>
      </c>
    </row>
    <row r="722" spans="1:5" x14ac:dyDescent="0.2">
      <c r="A722" t="s">
        <v>736</v>
      </c>
      <c r="B722" t="s">
        <v>36</v>
      </c>
      <c r="C722">
        <v>1</v>
      </c>
      <c r="D722">
        <v>1</v>
      </c>
      <c r="E722">
        <v>5</v>
      </c>
    </row>
    <row r="723" spans="1:5" x14ac:dyDescent="0.2">
      <c r="A723" t="s">
        <v>737</v>
      </c>
      <c r="B723" t="s">
        <v>38</v>
      </c>
      <c r="C723">
        <v>1</v>
      </c>
      <c r="D723">
        <v>0</v>
      </c>
      <c r="E723">
        <v>4</v>
      </c>
    </row>
    <row r="724" spans="1:5" x14ac:dyDescent="0.2">
      <c r="A724" t="s">
        <v>738</v>
      </c>
      <c r="B724" t="s">
        <v>14</v>
      </c>
      <c r="C724">
        <v>0</v>
      </c>
      <c r="D724">
        <v>0</v>
      </c>
      <c r="E724">
        <v>2</v>
      </c>
    </row>
    <row r="725" spans="1:5" x14ac:dyDescent="0.2">
      <c r="A725" t="s">
        <v>739</v>
      </c>
      <c r="B725" t="s">
        <v>36</v>
      </c>
      <c r="C725">
        <v>0</v>
      </c>
      <c r="D725">
        <v>0</v>
      </c>
      <c r="E725">
        <v>1</v>
      </c>
    </row>
    <row r="726" spans="1:5" x14ac:dyDescent="0.2">
      <c r="A726" t="s">
        <v>740</v>
      </c>
      <c r="B726" t="s">
        <v>10</v>
      </c>
      <c r="C726">
        <v>1</v>
      </c>
      <c r="D726">
        <v>1</v>
      </c>
      <c r="E726">
        <v>5</v>
      </c>
    </row>
    <row r="727" spans="1:5" x14ac:dyDescent="0.2">
      <c r="A727" t="s">
        <v>741</v>
      </c>
      <c r="B727" t="s">
        <v>16</v>
      </c>
      <c r="C727">
        <v>1</v>
      </c>
      <c r="D727">
        <v>0</v>
      </c>
      <c r="E727">
        <v>4</v>
      </c>
    </row>
    <row r="728" spans="1:5" x14ac:dyDescent="0.2">
      <c r="A728" t="s">
        <v>742</v>
      </c>
      <c r="B728" t="s">
        <v>38</v>
      </c>
      <c r="C728">
        <v>0</v>
      </c>
      <c r="D728">
        <v>1</v>
      </c>
      <c r="E728">
        <v>2</v>
      </c>
    </row>
    <row r="729" spans="1:5" x14ac:dyDescent="0.2">
      <c r="A729" t="s">
        <v>743</v>
      </c>
      <c r="B729" t="s">
        <v>38</v>
      </c>
      <c r="C729">
        <v>1</v>
      </c>
      <c r="D729">
        <v>1</v>
      </c>
      <c r="E729">
        <v>5</v>
      </c>
    </row>
    <row r="730" spans="1:5" x14ac:dyDescent="0.2">
      <c r="A730" t="s">
        <v>744</v>
      </c>
      <c r="B730" t="s">
        <v>8</v>
      </c>
      <c r="C730">
        <v>1</v>
      </c>
      <c r="D730">
        <v>1</v>
      </c>
      <c r="E730">
        <v>1</v>
      </c>
    </row>
    <row r="731" spans="1:5" x14ac:dyDescent="0.2">
      <c r="A731" t="s">
        <v>745</v>
      </c>
      <c r="B731" t="s">
        <v>8</v>
      </c>
      <c r="C731">
        <v>0</v>
      </c>
      <c r="D731">
        <v>0</v>
      </c>
      <c r="E731">
        <v>5</v>
      </c>
    </row>
    <row r="732" spans="1:5" x14ac:dyDescent="0.2">
      <c r="A732" t="s">
        <v>746</v>
      </c>
      <c r="B732" t="s">
        <v>36</v>
      </c>
      <c r="C732">
        <v>1</v>
      </c>
      <c r="D732">
        <v>0</v>
      </c>
      <c r="E732">
        <v>2</v>
      </c>
    </row>
    <row r="733" spans="1:5" x14ac:dyDescent="0.2">
      <c r="A733" t="s">
        <v>747</v>
      </c>
      <c r="B733" t="s">
        <v>6</v>
      </c>
      <c r="C733">
        <v>0</v>
      </c>
      <c r="D733">
        <v>1</v>
      </c>
      <c r="E733">
        <v>2</v>
      </c>
    </row>
    <row r="734" spans="1:5" x14ac:dyDescent="0.2">
      <c r="A734" t="s">
        <v>748</v>
      </c>
      <c r="B734" t="s">
        <v>14</v>
      </c>
      <c r="C734">
        <v>0</v>
      </c>
      <c r="D734">
        <v>1</v>
      </c>
      <c r="E734">
        <v>2</v>
      </c>
    </row>
    <row r="735" spans="1:5" x14ac:dyDescent="0.2">
      <c r="A735" t="s">
        <v>749</v>
      </c>
      <c r="B735" t="s">
        <v>21</v>
      </c>
      <c r="C735">
        <v>1</v>
      </c>
      <c r="D735">
        <v>1</v>
      </c>
      <c r="E735">
        <v>5</v>
      </c>
    </row>
    <row r="736" spans="1:5" x14ac:dyDescent="0.2">
      <c r="A736" t="s">
        <v>750</v>
      </c>
      <c r="B736" t="s">
        <v>38</v>
      </c>
      <c r="C736">
        <v>1</v>
      </c>
      <c r="D736">
        <v>1</v>
      </c>
      <c r="E736">
        <v>3</v>
      </c>
    </row>
    <row r="737" spans="1:5" x14ac:dyDescent="0.2">
      <c r="A737" t="s">
        <v>751</v>
      </c>
      <c r="B737" t="s">
        <v>16</v>
      </c>
      <c r="C737">
        <v>1</v>
      </c>
      <c r="D737">
        <v>1</v>
      </c>
      <c r="E737">
        <v>3</v>
      </c>
    </row>
    <row r="738" spans="1:5" x14ac:dyDescent="0.2">
      <c r="A738" t="s">
        <v>752</v>
      </c>
      <c r="B738" t="s">
        <v>16</v>
      </c>
      <c r="C738">
        <v>0</v>
      </c>
      <c r="D738">
        <v>1</v>
      </c>
      <c r="E738">
        <v>4</v>
      </c>
    </row>
    <row r="739" spans="1:5" x14ac:dyDescent="0.2">
      <c r="A739" t="s">
        <v>753</v>
      </c>
      <c r="B739" t="s">
        <v>10</v>
      </c>
      <c r="C739">
        <v>1</v>
      </c>
      <c r="D739">
        <v>1</v>
      </c>
      <c r="E739">
        <v>4</v>
      </c>
    </row>
    <row r="740" spans="1:5" x14ac:dyDescent="0.2">
      <c r="A740" t="s">
        <v>754</v>
      </c>
      <c r="B740" t="s">
        <v>14</v>
      </c>
      <c r="C740">
        <v>0</v>
      </c>
      <c r="D740">
        <v>1</v>
      </c>
      <c r="E740">
        <v>1</v>
      </c>
    </row>
    <row r="741" spans="1:5" x14ac:dyDescent="0.2">
      <c r="A741" t="s">
        <v>755</v>
      </c>
      <c r="B741" t="s">
        <v>6</v>
      </c>
      <c r="C741">
        <v>0</v>
      </c>
      <c r="D741">
        <v>0</v>
      </c>
      <c r="E741">
        <v>2</v>
      </c>
    </row>
    <row r="742" spans="1:5" x14ac:dyDescent="0.2">
      <c r="A742" t="s">
        <v>756</v>
      </c>
      <c r="B742" t="s">
        <v>38</v>
      </c>
      <c r="C742">
        <v>1</v>
      </c>
      <c r="D742">
        <v>1</v>
      </c>
      <c r="E742">
        <v>5</v>
      </c>
    </row>
    <row r="743" spans="1:5" x14ac:dyDescent="0.2">
      <c r="A743" t="s">
        <v>757</v>
      </c>
      <c r="B743" t="s">
        <v>36</v>
      </c>
      <c r="C743">
        <v>0</v>
      </c>
      <c r="D743">
        <v>0</v>
      </c>
      <c r="E743">
        <v>4</v>
      </c>
    </row>
    <row r="744" spans="1:5" x14ac:dyDescent="0.2">
      <c r="A744" t="s">
        <v>758</v>
      </c>
      <c r="B744" t="s">
        <v>21</v>
      </c>
      <c r="C744">
        <v>1</v>
      </c>
      <c r="D744">
        <v>1</v>
      </c>
      <c r="E744">
        <v>3</v>
      </c>
    </row>
    <row r="745" spans="1:5" x14ac:dyDescent="0.2">
      <c r="A745" t="s">
        <v>759</v>
      </c>
      <c r="B745" t="s">
        <v>36</v>
      </c>
      <c r="C745">
        <v>0</v>
      </c>
      <c r="D745">
        <v>1</v>
      </c>
      <c r="E745">
        <v>5</v>
      </c>
    </row>
    <row r="746" spans="1:5" x14ac:dyDescent="0.2">
      <c r="A746" t="s">
        <v>760</v>
      </c>
      <c r="B746" t="s">
        <v>33</v>
      </c>
      <c r="C746">
        <v>0</v>
      </c>
      <c r="D746">
        <v>1</v>
      </c>
      <c r="E746">
        <v>1</v>
      </c>
    </row>
    <row r="747" spans="1:5" x14ac:dyDescent="0.2">
      <c r="A747" t="s">
        <v>761</v>
      </c>
      <c r="B747" t="s">
        <v>16</v>
      </c>
      <c r="C747">
        <v>0</v>
      </c>
      <c r="D747">
        <v>0</v>
      </c>
      <c r="E747">
        <v>3</v>
      </c>
    </row>
    <row r="748" spans="1:5" x14ac:dyDescent="0.2">
      <c r="A748" t="s">
        <v>762</v>
      </c>
      <c r="B748" t="s">
        <v>10</v>
      </c>
      <c r="C748">
        <v>1</v>
      </c>
      <c r="D748">
        <v>0</v>
      </c>
      <c r="E748">
        <v>2</v>
      </c>
    </row>
    <row r="749" spans="1:5" x14ac:dyDescent="0.2">
      <c r="A749" t="s">
        <v>763</v>
      </c>
      <c r="B749" t="s">
        <v>8</v>
      </c>
      <c r="C749">
        <v>1</v>
      </c>
      <c r="D749">
        <v>1</v>
      </c>
      <c r="E749">
        <v>1</v>
      </c>
    </row>
    <row r="750" spans="1:5" x14ac:dyDescent="0.2">
      <c r="A750" t="s">
        <v>764</v>
      </c>
      <c r="B750" t="s">
        <v>6</v>
      </c>
      <c r="C750">
        <v>1</v>
      </c>
      <c r="D750">
        <v>0</v>
      </c>
      <c r="E750">
        <v>1</v>
      </c>
    </row>
    <row r="751" spans="1:5" x14ac:dyDescent="0.2">
      <c r="A751" t="s">
        <v>765</v>
      </c>
      <c r="B751" t="s">
        <v>33</v>
      </c>
      <c r="C751">
        <v>0</v>
      </c>
      <c r="D751">
        <v>1</v>
      </c>
      <c r="E751">
        <v>2</v>
      </c>
    </row>
    <row r="752" spans="1:5" x14ac:dyDescent="0.2">
      <c r="A752" t="s">
        <v>766</v>
      </c>
      <c r="B752" t="s">
        <v>12</v>
      </c>
      <c r="C752">
        <v>1</v>
      </c>
      <c r="D752">
        <v>1</v>
      </c>
      <c r="E752">
        <v>3</v>
      </c>
    </row>
    <row r="753" spans="1:5" x14ac:dyDescent="0.2">
      <c r="A753" t="s">
        <v>767</v>
      </c>
      <c r="B753" t="s">
        <v>14</v>
      </c>
      <c r="C753">
        <v>1</v>
      </c>
      <c r="D753">
        <v>0</v>
      </c>
      <c r="E753">
        <v>3</v>
      </c>
    </row>
    <row r="754" spans="1:5" x14ac:dyDescent="0.2">
      <c r="A754" t="s">
        <v>768</v>
      </c>
      <c r="B754" t="s">
        <v>16</v>
      </c>
      <c r="C754">
        <v>0</v>
      </c>
      <c r="D754">
        <v>1</v>
      </c>
      <c r="E754">
        <v>1</v>
      </c>
    </row>
    <row r="755" spans="1:5" x14ac:dyDescent="0.2">
      <c r="A755" t="s">
        <v>769</v>
      </c>
      <c r="B755" t="s">
        <v>8</v>
      </c>
      <c r="C755">
        <v>0</v>
      </c>
      <c r="D755">
        <v>1</v>
      </c>
      <c r="E755">
        <v>5</v>
      </c>
    </row>
    <row r="756" spans="1:5" x14ac:dyDescent="0.2">
      <c r="A756" t="s">
        <v>770</v>
      </c>
      <c r="B756" t="s">
        <v>6</v>
      </c>
      <c r="C756">
        <v>1</v>
      </c>
      <c r="D756">
        <v>0</v>
      </c>
      <c r="E756">
        <v>5</v>
      </c>
    </row>
    <row r="757" spans="1:5" x14ac:dyDescent="0.2">
      <c r="A757" t="s">
        <v>771</v>
      </c>
      <c r="B757" t="s">
        <v>36</v>
      </c>
      <c r="C757">
        <v>0</v>
      </c>
      <c r="D757">
        <v>0</v>
      </c>
      <c r="E757">
        <v>2</v>
      </c>
    </row>
    <row r="758" spans="1:5" x14ac:dyDescent="0.2">
      <c r="A758" t="s">
        <v>772</v>
      </c>
      <c r="B758" t="s">
        <v>6</v>
      </c>
      <c r="C758">
        <v>0</v>
      </c>
      <c r="D758">
        <v>0</v>
      </c>
      <c r="E758">
        <v>4</v>
      </c>
    </row>
    <row r="759" spans="1:5" x14ac:dyDescent="0.2">
      <c r="A759" t="s">
        <v>773</v>
      </c>
      <c r="B759" t="s">
        <v>10</v>
      </c>
      <c r="C759">
        <v>0</v>
      </c>
      <c r="D759">
        <v>1</v>
      </c>
      <c r="E759">
        <v>5</v>
      </c>
    </row>
    <row r="760" spans="1:5" x14ac:dyDescent="0.2">
      <c r="A760" t="s">
        <v>774</v>
      </c>
      <c r="B760" t="s">
        <v>38</v>
      </c>
      <c r="C760">
        <v>0</v>
      </c>
      <c r="D760">
        <v>1</v>
      </c>
      <c r="E760">
        <v>4</v>
      </c>
    </row>
    <row r="761" spans="1:5" x14ac:dyDescent="0.2">
      <c r="A761" t="s">
        <v>775</v>
      </c>
      <c r="B761" t="s">
        <v>38</v>
      </c>
      <c r="C761">
        <v>1</v>
      </c>
      <c r="D761">
        <v>1</v>
      </c>
      <c r="E761">
        <v>3</v>
      </c>
    </row>
    <row r="762" spans="1:5" x14ac:dyDescent="0.2">
      <c r="A762" t="s">
        <v>776</v>
      </c>
      <c r="B762" t="s">
        <v>38</v>
      </c>
      <c r="C762">
        <v>0</v>
      </c>
      <c r="D762">
        <v>1</v>
      </c>
      <c r="E762">
        <v>2</v>
      </c>
    </row>
    <row r="763" spans="1:5" x14ac:dyDescent="0.2">
      <c r="A763" t="s">
        <v>777</v>
      </c>
      <c r="B763" t="s">
        <v>8</v>
      </c>
      <c r="C763">
        <v>1</v>
      </c>
      <c r="D763">
        <v>1</v>
      </c>
      <c r="E763">
        <v>5</v>
      </c>
    </row>
    <row r="764" spans="1:5" x14ac:dyDescent="0.2">
      <c r="A764" t="s">
        <v>778</v>
      </c>
      <c r="B764" t="s">
        <v>12</v>
      </c>
      <c r="C764">
        <v>0</v>
      </c>
      <c r="D764">
        <v>1</v>
      </c>
      <c r="E764">
        <v>3</v>
      </c>
    </row>
    <row r="765" spans="1:5" x14ac:dyDescent="0.2">
      <c r="A765" t="s">
        <v>779</v>
      </c>
      <c r="B765" t="s">
        <v>6</v>
      </c>
      <c r="C765">
        <v>1</v>
      </c>
      <c r="D765">
        <v>1</v>
      </c>
      <c r="E765">
        <v>3</v>
      </c>
    </row>
    <row r="766" spans="1:5" x14ac:dyDescent="0.2">
      <c r="A766" t="s">
        <v>780</v>
      </c>
      <c r="B766" t="s">
        <v>33</v>
      </c>
      <c r="C766">
        <v>0</v>
      </c>
      <c r="D766">
        <v>1</v>
      </c>
      <c r="E766">
        <v>5</v>
      </c>
    </row>
    <row r="767" spans="1:5" x14ac:dyDescent="0.2">
      <c r="A767" t="s">
        <v>781</v>
      </c>
      <c r="B767" t="s">
        <v>6</v>
      </c>
      <c r="C767">
        <v>1</v>
      </c>
      <c r="D767">
        <v>0</v>
      </c>
      <c r="E767">
        <v>3</v>
      </c>
    </row>
    <row r="768" spans="1:5" x14ac:dyDescent="0.2">
      <c r="A768" t="s">
        <v>782</v>
      </c>
      <c r="B768" t="s">
        <v>14</v>
      </c>
      <c r="C768">
        <v>1</v>
      </c>
      <c r="D768">
        <v>0</v>
      </c>
      <c r="E768">
        <v>1</v>
      </c>
    </row>
    <row r="769" spans="1:5" x14ac:dyDescent="0.2">
      <c r="A769" t="s">
        <v>783</v>
      </c>
      <c r="B769" t="s">
        <v>16</v>
      </c>
      <c r="C769">
        <v>1</v>
      </c>
      <c r="D769">
        <v>0</v>
      </c>
      <c r="E769">
        <v>2</v>
      </c>
    </row>
    <row r="770" spans="1:5" x14ac:dyDescent="0.2">
      <c r="A770" t="s">
        <v>784</v>
      </c>
      <c r="B770" t="s">
        <v>16</v>
      </c>
      <c r="C770">
        <v>1</v>
      </c>
      <c r="D770">
        <v>0</v>
      </c>
      <c r="E770">
        <v>2</v>
      </c>
    </row>
    <row r="771" spans="1:5" x14ac:dyDescent="0.2">
      <c r="A771" t="s">
        <v>785</v>
      </c>
      <c r="B771" t="s">
        <v>21</v>
      </c>
      <c r="C771">
        <v>0</v>
      </c>
      <c r="D771">
        <v>1</v>
      </c>
      <c r="E771">
        <v>5</v>
      </c>
    </row>
    <row r="772" spans="1:5" x14ac:dyDescent="0.2">
      <c r="A772" t="s">
        <v>786</v>
      </c>
      <c r="B772" t="s">
        <v>33</v>
      </c>
      <c r="C772">
        <v>0</v>
      </c>
      <c r="D772">
        <v>0</v>
      </c>
      <c r="E772">
        <v>4</v>
      </c>
    </row>
    <row r="773" spans="1:5" x14ac:dyDescent="0.2">
      <c r="A773" t="s">
        <v>787</v>
      </c>
      <c r="B773" t="s">
        <v>38</v>
      </c>
      <c r="C773">
        <v>0</v>
      </c>
      <c r="D773">
        <v>0</v>
      </c>
      <c r="E773">
        <v>3</v>
      </c>
    </row>
    <row r="774" spans="1:5" x14ac:dyDescent="0.2">
      <c r="A774" t="s">
        <v>788</v>
      </c>
      <c r="B774" t="s">
        <v>8</v>
      </c>
      <c r="C774">
        <v>1</v>
      </c>
      <c r="D774">
        <v>1</v>
      </c>
      <c r="E774">
        <v>4</v>
      </c>
    </row>
    <row r="775" spans="1:5" x14ac:dyDescent="0.2">
      <c r="A775" t="s">
        <v>789</v>
      </c>
      <c r="B775" t="s">
        <v>16</v>
      </c>
      <c r="C775">
        <v>1</v>
      </c>
      <c r="D775">
        <v>1</v>
      </c>
      <c r="E775">
        <v>4</v>
      </c>
    </row>
    <row r="776" spans="1:5" x14ac:dyDescent="0.2">
      <c r="A776" t="s">
        <v>790</v>
      </c>
      <c r="B776" t="s">
        <v>8</v>
      </c>
      <c r="C776">
        <v>0</v>
      </c>
      <c r="D776">
        <v>1</v>
      </c>
      <c r="E776">
        <v>3</v>
      </c>
    </row>
    <row r="777" spans="1:5" x14ac:dyDescent="0.2">
      <c r="A777" t="s">
        <v>791</v>
      </c>
      <c r="B777" t="s">
        <v>6</v>
      </c>
      <c r="C777">
        <v>1</v>
      </c>
      <c r="D777">
        <v>1</v>
      </c>
      <c r="E777">
        <v>4</v>
      </c>
    </row>
    <row r="778" spans="1:5" x14ac:dyDescent="0.2">
      <c r="A778" t="s">
        <v>792</v>
      </c>
      <c r="B778" t="s">
        <v>33</v>
      </c>
      <c r="C778">
        <v>1</v>
      </c>
      <c r="D778">
        <v>0</v>
      </c>
      <c r="E778">
        <v>3</v>
      </c>
    </row>
    <row r="779" spans="1:5" x14ac:dyDescent="0.2">
      <c r="A779" t="s">
        <v>793</v>
      </c>
      <c r="B779" t="s">
        <v>6</v>
      </c>
      <c r="C779">
        <v>1</v>
      </c>
      <c r="D779">
        <v>1</v>
      </c>
      <c r="E779">
        <v>3</v>
      </c>
    </row>
    <row r="780" spans="1:5" x14ac:dyDescent="0.2">
      <c r="A780" t="s">
        <v>794</v>
      </c>
      <c r="B780" t="s">
        <v>16</v>
      </c>
      <c r="C780">
        <v>0</v>
      </c>
      <c r="D780">
        <v>1</v>
      </c>
      <c r="E780">
        <v>5</v>
      </c>
    </row>
    <row r="781" spans="1:5" x14ac:dyDescent="0.2">
      <c r="A781" t="s">
        <v>795</v>
      </c>
      <c r="B781" t="s">
        <v>10</v>
      </c>
      <c r="C781">
        <v>0</v>
      </c>
      <c r="D781">
        <v>1</v>
      </c>
      <c r="E781">
        <v>1</v>
      </c>
    </row>
    <row r="782" spans="1:5" x14ac:dyDescent="0.2">
      <c r="A782" t="s">
        <v>796</v>
      </c>
      <c r="B782" t="s">
        <v>6</v>
      </c>
      <c r="C782">
        <v>1</v>
      </c>
      <c r="D782">
        <v>0</v>
      </c>
      <c r="E782">
        <v>2</v>
      </c>
    </row>
    <row r="783" spans="1:5" x14ac:dyDescent="0.2">
      <c r="A783" t="s">
        <v>797</v>
      </c>
      <c r="B783" t="s">
        <v>14</v>
      </c>
      <c r="C783">
        <v>0</v>
      </c>
      <c r="D783">
        <v>1</v>
      </c>
      <c r="E783">
        <v>5</v>
      </c>
    </row>
    <row r="784" spans="1:5" x14ac:dyDescent="0.2">
      <c r="A784" t="s">
        <v>798</v>
      </c>
      <c r="B784" t="s">
        <v>16</v>
      </c>
      <c r="C784">
        <v>0</v>
      </c>
      <c r="D784">
        <v>0</v>
      </c>
      <c r="E784">
        <v>4</v>
      </c>
    </row>
    <row r="785" spans="1:5" x14ac:dyDescent="0.2">
      <c r="A785" t="s">
        <v>799</v>
      </c>
      <c r="B785" t="s">
        <v>14</v>
      </c>
      <c r="C785">
        <v>1</v>
      </c>
      <c r="D785">
        <v>1</v>
      </c>
      <c r="E785">
        <v>3</v>
      </c>
    </row>
    <row r="786" spans="1:5" x14ac:dyDescent="0.2">
      <c r="A786" t="s">
        <v>800</v>
      </c>
      <c r="B786" t="s">
        <v>8</v>
      </c>
      <c r="C786">
        <v>1</v>
      </c>
      <c r="D786">
        <v>1</v>
      </c>
      <c r="E786">
        <v>5</v>
      </c>
    </row>
    <row r="787" spans="1:5" x14ac:dyDescent="0.2">
      <c r="A787" t="s">
        <v>801</v>
      </c>
      <c r="B787" t="s">
        <v>33</v>
      </c>
      <c r="C787">
        <v>1</v>
      </c>
      <c r="D787">
        <v>0</v>
      </c>
      <c r="E787">
        <v>5</v>
      </c>
    </row>
    <row r="788" spans="1:5" x14ac:dyDescent="0.2">
      <c r="A788" t="s">
        <v>802</v>
      </c>
      <c r="B788" t="s">
        <v>8</v>
      </c>
      <c r="C788">
        <v>1</v>
      </c>
      <c r="D788">
        <v>1</v>
      </c>
      <c r="E788">
        <v>1</v>
      </c>
    </row>
    <row r="789" spans="1:5" x14ac:dyDescent="0.2">
      <c r="A789" t="s">
        <v>803</v>
      </c>
      <c r="B789" t="s">
        <v>14</v>
      </c>
      <c r="C789">
        <v>1</v>
      </c>
      <c r="D789">
        <v>1</v>
      </c>
      <c r="E789">
        <v>4</v>
      </c>
    </row>
    <row r="790" spans="1:5" x14ac:dyDescent="0.2">
      <c r="A790" t="s">
        <v>804</v>
      </c>
      <c r="B790" t="s">
        <v>21</v>
      </c>
      <c r="C790">
        <v>0</v>
      </c>
      <c r="D790">
        <v>1</v>
      </c>
      <c r="E790">
        <v>3</v>
      </c>
    </row>
    <row r="791" spans="1:5" x14ac:dyDescent="0.2">
      <c r="A791" t="s">
        <v>805</v>
      </c>
      <c r="B791" t="s">
        <v>12</v>
      </c>
      <c r="C791">
        <v>0</v>
      </c>
      <c r="D791">
        <v>1</v>
      </c>
      <c r="E791">
        <v>4</v>
      </c>
    </row>
    <row r="792" spans="1:5" x14ac:dyDescent="0.2">
      <c r="A792" t="s">
        <v>806</v>
      </c>
      <c r="B792" t="s">
        <v>36</v>
      </c>
      <c r="C792">
        <v>1</v>
      </c>
      <c r="D792">
        <v>0</v>
      </c>
      <c r="E792">
        <v>3</v>
      </c>
    </row>
    <row r="793" spans="1:5" x14ac:dyDescent="0.2">
      <c r="A793" t="s">
        <v>807</v>
      </c>
      <c r="B793" t="s">
        <v>6</v>
      </c>
      <c r="C793">
        <v>0</v>
      </c>
      <c r="D793">
        <v>0</v>
      </c>
      <c r="E793">
        <v>3</v>
      </c>
    </row>
    <row r="794" spans="1:5" x14ac:dyDescent="0.2">
      <c r="A794" t="s">
        <v>808</v>
      </c>
      <c r="B794" t="s">
        <v>10</v>
      </c>
      <c r="C794">
        <v>0</v>
      </c>
      <c r="D794">
        <v>0</v>
      </c>
      <c r="E794">
        <v>3</v>
      </c>
    </row>
    <row r="795" spans="1:5" x14ac:dyDescent="0.2">
      <c r="A795" t="s">
        <v>809</v>
      </c>
      <c r="B795" t="s">
        <v>21</v>
      </c>
      <c r="C795">
        <v>1</v>
      </c>
      <c r="D795">
        <v>0</v>
      </c>
      <c r="E795">
        <v>3</v>
      </c>
    </row>
    <row r="796" spans="1:5" x14ac:dyDescent="0.2">
      <c r="A796" t="s">
        <v>810</v>
      </c>
      <c r="B796" t="s">
        <v>10</v>
      </c>
      <c r="C796">
        <v>0</v>
      </c>
      <c r="D796">
        <v>1</v>
      </c>
      <c r="E796">
        <v>2</v>
      </c>
    </row>
    <row r="797" spans="1:5" x14ac:dyDescent="0.2">
      <c r="A797" t="s">
        <v>811</v>
      </c>
      <c r="B797" t="s">
        <v>38</v>
      </c>
      <c r="C797">
        <v>1</v>
      </c>
      <c r="D797">
        <v>1</v>
      </c>
      <c r="E797">
        <v>3</v>
      </c>
    </row>
    <row r="798" spans="1:5" x14ac:dyDescent="0.2">
      <c r="A798" t="s">
        <v>812</v>
      </c>
      <c r="B798" t="s">
        <v>33</v>
      </c>
      <c r="C798">
        <v>1</v>
      </c>
      <c r="D798">
        <v>1</v>
      </c>
      <c r="E798">
        <v>2</v>
      </c>
    </row>
    <row r="799" spans="1:5" x14ac:dyDescent="0.2">
      <c r="A799" t="s">
        <v>813</v>
      </c>
      <c r="B799" t="s">
        <v>16</v>
      </c>
      <c r="C799">
        <v>0</v>
      </c>
      <c r="D799">
        <v>1</v>
      </c>
      <c r="E799">
        <v>1</v>
      </c>
    </row>
    <row r="800" spans="1:5" x14ac:dyDescent="0.2">
      <c r="A800" t="s">
        <v>814</v>
      </c>
      <c r="B800" t="s">
        <v>36</v>
      </c>
      <c r="C800">
        <v>1</v>
      </c>
      <c r="D800">
        <v>1</v>
      </c>
      <c r="E800">
        <v>1</v>
      </c>
    </row>
    <row r="801" spans="1:5" x14ac:dyDescent="0.2">
      <c r="A801" t="s">
        <v>815</v>
      </c>
      <c r="B801" t="s">
        <v>16</v>
      </c>
      <c r="C801">
        <v>0</v>
      </c>
      <c r="D801">
        <v>0</v>
      </c>
      <c r="E801">
        <v>4</v>
      </c>
    </row>
    <row r="802" spans="1:5" x14ac:dyDescent="0.2">
      <c r="A802" t="s">
        <v>816</v>
      </c>
      <c r="B802" t="s">
        <v>21</v>
      </c>
      <c r="C802">
        <v>1</v>
      </c>
      <c r="D802">
        <v>1</v>
      </c>
      <c r="E802">
        <v>2</v>
      </c>
    </row>
    <row r="803" spans="1:5" x14ac:dyDescent="0.2">
      <c r="A803" t="s">
        <v>817</v>
      </c>
      <c r="B803" t="s">
        <v>36</v>
      </c>
      <c r="C803">
        <v>0</v>
      </c>
      <c r="D803">
        <v>0</v>
      </c>
      <c r="E803">
        <v>2</v>
      </c>
    </row>
    <row r="804" spans="1:5" x14ac:dyDescent="0.2">
      <c r="A804" t="s">
        <v>818</v>
      </c>
      <c r="B804" t="s">
        <v>38</v>
      </c>
      <c r="C804">
        <v>0</v>
      </c>
      <c r="D804">
        <v>1</v>
      </c>
      <c r="E804">
        <v>3</v>
      </c>
    </row>
    <row r="805" spans="1:5" x14ac:dyDescent="0.2">
      <c r="A805" t="s">
        <v>819</v>
      </c>
      <c r="B805" t="s">
        <v>10</v>
      </c>
      <c r="C805">
        <v>1</v>
      </c>
      <c r="D805">
        <v>1</v>
      </c>
      <c r="E805">
        <v>1</v>
      </c>
    </row>
    <row r="806" spans="1:5" x14ac:dyDescent="0.2">
      <c r="A806" t="s">
        <v>820</v>
      </c>
      <c r="B806" t="s">
        <v>16</v>
      </c>
      <c r="C806">
        <v>0</v>
      </c>
      <c r="D806">
        <v>0</v>
      </c>
      <c r="E806">
        <v>2</v>
      </c>
    </row>
    <row r="807" spans="1:5" x14ac:dyDescent="0.2">
      <c r="A807" t="s">
        <v>821</v>
      </c>
      <c r="B807" t="s">
        <v>10</v>
      </c>
      <c r="C807">
        <v>1</v>
      </c>
      <c r="D807">
        <v>1</v>
      </c>
      <c r="E807">
        <v>3</v>
      </c>
    </row>
    <row r="808" spans="1:5" x14ac:dyDescent="0.2">
      <c r="A808" t="s">
        <v>822</v>
      </c>
      <c r="B808" t="s">
        <v>8</v>
      </c>
      <c r="C808">
        <v>1</v>
      </c>
      <c r="D808">
        <v>1</v>
      </c>
      <c r="E808">
        <v>3</v>
      </c>
    </row>
    <row r="809" spans="1:5" x14ac:dyDescent="0.2">
      <c r="A809" t="s">
        <v>823</v>
      </c>
      <c r="B809" t="s">
        <v>6</v>
      </c>
      <c r="C809">
        <v>1</v>
      </c>
      <c r="D809">
        <v>0</v>
      </c>
      <c r="E809">
        <v>5</v>
      </c>
    </row>
    <row r="810" spans="1:5" x14ac:dyDescent="0.2">
      <c r="A810" t="s">
        <v>824</v>
      </c>
      <c r="B810" t="s">
        <v>16</v>
      </c>
      <c r="C810">
        <v>1</v>
      </c>
      <c r="D810">
        <v>0</v>
      </c>
      <c r="E810">
        <v>1</v>
      </c>
    </row>
    <row r="811" spans="1:5" x14ac:dyDescent="0.2">
      <c r="A811" t="s">
        <v>825</v>
      </c>
      <c r="B811" t="s">
        <v>16</v>
      </c>
      <c r="C811">
        <v>0</v>
      </c>
      <c r="D811">
        <v>1</v>
      </c>
      <c r="E811">
        <v>3</v>
      </c>
    </row>
    <row r="812" spans="1:5" x14ac:dyDescent="0.2">
      <c r="A812" t="s">
        <v>826</v>
      </c>
      <c r="B812" t="s">
        <v>14</v>
      </c>
      <c r="C812">
        <v>0</v>
      </c>
      <c r="D812">
        <v>0</v>
      </c>
      <c r="E812">
        <v>1</v>
      </c>
    </row>
    <row r="813" spans="1:5" x14ac:dyDescent="0.2">
      <c r="A813" t="s">
        <v>827</v>
      </c>
      <c r="B813" t="s">
        <v>6</v>
      </c>
      <c r="C813">
        <v>0</v>
      </c>
      <c r="D813">
        <v>0</v>
      </c>
      <c r="E813">
        <v>5</v>
      </c>
    </row>
    <row r="814" spans="1:5" x14ac:dyDescent="0.2">
      <c r="A814" t="s">
        <v>828</v>
      </c>
      <c r="B814" t="s">
        <v>33</v>
      </c>
      <c r="C814">
        <v>1</v>
      </c>
      <c r="D814">
        <v>1</v>
      </c>
      <c r="E814">
        <v>5</v>
      </c>
    </row>
    <row r="815" spans="1:5" x14ac:dyDescent="0.2">
      <c r="A815" t="s">
        <v>829</v>
      </c>
      <c r="B815" t="s">
        <v>12</v>
      </c>
      <c r="C815">
        <v>0</v>
      </c>
      <c r="D815">
        <v>1</v>
      </c>
      <c r="E815">
        <v>3</v>
      </c>
    </row>
    <row r="816" spans="1:5" x14ac:dyDescent="0.2">
      <c r="A816" t="s">
        <v>830</v>
      </c>
      <c r="B816" t="s">
        <v>6</v>
      </c>
      <c r="C816">
        <v>0</v>
      </c>
      <c r="D816">
        <v>1</v>
      </c>
      <c r="E816">
        <v>4</v>
      </c>
    </row>
    <row r="817" spans="1:5" x14ac:dyDescent="0.2">
      <c r="A817" t="s">
        <v>831</v>
      </c>
      <c r="B817" t="s">
        <v>33</v>
      </c>
      <c r="C817">
        <v>0</v>
      </c>
      <c r="D817">
        <v>1</v>
      </c>
      <c r="E817">
        <v>5</v>
      </c>
    </row>
    <row r="818" spans="1:5" x14ac:dyDescent="0.2">
      <c r="A818" t="s">
        <v>832</v>
      </c>
      <c r="B818" t="s">
        <v>6</v>
      </c>
      <c r="C818">
        <v>0</v>
      </c>
      <c r="D818">
        <v>0</v>
      </c>
      <c r="E818">
        <v>4</v>
      </c>
    </row>
    <row r="819" spans="1:5" x14ac:dyDescent="0.2">
      <c r="A819" t="s">
        <v>833</v>
      </c>
      <c r="B819" t="s">
        <v>14</v>
      </c>
      <c r="C819">
        <v>1</v>
      </c>
      <c r="D819">
        <v>1</v>
      </c>
      <c r="E819">
        <v>4</v>
      </c>
    </row>
    <row r="820" spans="1:5" x14ac:dyDescent="0.2">
      <c r="A820" t="s">
        <v>834</v>
      </c>
      <c r="B820" t="s">
        <v>10</v>
      </c>
      <c r="C820">
        <v>1</v>
      </c>
      <c r="D820">
        <v>0</v>
      </c>
      <c r="E820">
        <v>2</v>
      </c>
    </row>
    <row r="821" spans="1:5" x14ac:dyDescent="0.2">
      <c r="A821" t="s">
        <v>835</v>
      </c>
      <c r="B821" t="s">
        <v>12</v>
      </c>
      <c r="C821">
        <v>0</v>
      </c>
      <c r="D821">
        <v>1</v>
      </c>
      <c r="E821">
        <v>2</v>
      </c>
    </row>
    <row r="822" spans="1:5" x14ac:dyDescent="0.2">
      <c r="A822" t="s">
        <v>836</v>
      </c>
      <c r="B822" t="s">
        <v>14</v>
      </c>
      <c r="C822">
        <v>0</v>
      </c>
      <c r="D822">
        <v>0</v>
      </c>
      <c r="E822">
        <v>5</v>
      </c>
    </row>
    <row r="823" spans="1:5" x14ac:dyDescent="0.2">
      <c r="A823" t="s">
        <v>837</v>
      </c>
      <c r="B823" t="s">
        <v>21</v>
      </c>
      <c r="C823">
        <v>0</v>
      </c>
      <c r="D823">
        <v>0</v>
      </c>
      <c r="E823">
        <v>2</v>
      </c>
    </row>
    <row r="824" spans="1:5" x14ac:dyDescent="0.2">
      <c r="A824" t="s">
        <v>838</v>
      </c>
      <c r="B824" t="s">
        <v>21</v>
      </c>
      <c r="C824">
        <v>0</v>
      </c>
      <c r="D824">
        <v>0</v>
      </c>
      <c r="E824">
        <v>4</v>
      </c>
    </row>
    <row r="825" spans="1:5" x14ac:dyDescent="0.2">
      <c r="A825" t="s">
        <v>839</v>
      </c>
      <c r="B825" t="s">
        <v>21</v>
      </c>
      <c r="C825">
        <v>0</v>
      </c>
      <c r="D825">
        <v>1</v>
      </c>
      <c r="E825">
        <v>4</v>
      </c>
    </row>
    <row r="826" spans="1:5" x14ac:dyDescent="0.2">
      <c r="A826" t="s">
        <v>840</v>
      </c>
      <c r="B826" t="s">
        <v>16</v>
      </c>
      <c r="C826">
        <v>1</v>
      </c>
      <c r="D826">
        <v>1</v>
      </c>
      <c r="E826">
        <v>3</v>
      </c>
    </row>
    <row r="827" spans="1:5" x14ac:dyDescent="0.2">
      <c r="A827" t="s">
        <v>841</v>
      </c>
      <c r="B827" t="s">
        <v>36</v>
      </c>
      <c r="C827">
        <v>1</v>
      </c>
      <c r="D827">
        <v>0</v>
      </c>
      <c r="E827">
        <v>5</v>
      </c>
    </row>
    <row r="828" spans="1:5" x14ac:dyDescent="0.2">
      <c r="A828" t="s">
        <v>842</v>
      </c>
      <c r="B828" t="s">
        <v>8</v>
      </c>
      <c r="C828">
        <v>0</v>
      </c>
      <c r="D828">
        <v>0</v>
      </c>
      <c r="E828">
        <v>1</v>
      </c>
    </row>
    <row r="829" spans="1:5" x14ac:dyDescent="0.2">
      <c r="A829" t="s">
        <v>843</v>
      </c>
      <c r="B829" t="s">
        <v>14</v>
      </c>
      <c r="C829">
        <v>0</v>
      </c>
      <c r="D829">
        <v>1</v>
      </c>
      <c r="E829">
        <v>5</v>
      </c>
    </row>
    <row r="830" spans="1:5" x14ac:dyDescent="0.2">
      <c r="A830" t="s">
        <v>844</v>
      </c>
      <c r="B830" t="s">
        <v>16</v>
      </c>
      <c r="C830">
        <v>0</v>
      </c>
      <c r="D830">
        <v>0</v>
      </c>
      <c r="E830">
        <v>3</v>
      </c>
    </row>
    <row r="831" spans="1:5" x14ac:dyDescent="0.2">
      <c r="A831" t="s">
        <v>845</v>
      </c>
      <c r="B831" t="s">
        <v>12</v>
      </c>
      <c r="C831">
        <v>0</v>
      </c>
      <c r="D831">
        <v>1</v>
      </c>
      <c r="E831">
        <v>1</v>
      </c>
    </row>
    <row r="832" spans="1:5" x14ac:dyDescent="0.2">
      <c r="A832" t="s">
        <v>846</v>
      </c>
      <c r="B832" t="s">
        <v>33</v>
      </c>
      <c r="C832">
        <v>0</v>
      </c>
      <c r="D832">
        <v>1</v>
      </c>
      <c r="E832">
        <v>3</v>
      </c>
    </row>
    <row r="833" spans="1:5" x14ac:dyDescent="0.2">
      <c r="A833" t="s">
        <v>847</v>
      </c>
      <c r="B833" t="s">
        <v>14</v>
      </c>
      <c r="C833">
        <v>1</v>
      </c>
      <c r="D833">
        <v>1</v>
      </c>
      <c r="E833">
        <v>5</v>
      </c>
    </row>
    <row r="834" spans="1:5" x14ac:dyDescent="0.2">
      <c r="A834" t="s">
        <v>848</v>
      </c>
      <c r="B834" t="s">
        <v>8</v>
      </c>
      <c r="C834">
        <v>1</v>
      </c>
      <c r="D834">
        <v>0</v>
      </c>
      <c r="E834">
        <v>3</v>
      </c>
    </row>
    <row r="835" spans="1:5" x14ac:dyDescent="0.2">
      <c r="A835" t="s">
        <v>849</v>
      </c>
      <c r="B835" t="s">
        <v>12</v>
      </c>
      <c r="C835">
        <v>0</v>
      </c>
      <c r="D835">
        <v>1</v>
      </c>
      <c r="E835">
        <v>5</v>
      </c>
    </row>
    <row r="836" spans="1:5" x14ac:dyDescent="0.2">
      <c r="A836" t="s">
        <v>850</v>
      </c>
      <c r="B836" t="s">
        <v>8</v>
      </c>
      <c r="C836">
        <v>0</v>
      </c>
      <c r="D836">
        <v>1</v>
      </c>
      <c r="E836">
        <v>4</v>
      </c>
    </row>
    <row r="837" spans="1:5" x14ac:dyDescent="0.2">
      <c r="A837" t="s">
        <v>851</v>
      </c>
      <c r="B837" t="s">
        <v>10</v>
      </c>
      <c r="C837">
        <v>0</v>
      </c>
      <c r="D837">
        <v>1</v>
      </c>
      <c r="E837">
        <v>1</v>
      </c>
    </row>
    <row r="838" spans="1:5" x14ac:dyDescent="0.2">
      <c r="A838" t="s">
        <v>852</v>
      </c>
      <c r="B838" t="s">
        <v>33</v>
      </c>
      <c r="C838">
        <v>1</v>
      </c>
      <c r="D838">
        <v>1</v>
      </c>
      <c r="E838">
        <v>5</v>
      </c>
    </row>
    <row r="839" spans="1:5" x14ac:dyDescent="0.2">
      <c r="A839" t="s">
        <v>853</v>
      </c>
      <c r="B839" t="s">
        <v>21</v>
      </c>
      <c r="C839">
        <v>1</v>
      </c>
      <c r="D839">
        <v>1</v>
      </c>
      <c r="E839">
        <v>3</v>
      </c>
    </row>
    <row r="840" spans="1:5" x14ac:dyDescent="0.2">
      <c r="A840" t="s">
        <v>854</v>
      </c>
      <c r="B840" t="s">
        <v>8</v>
      </c>
      <c r="C840">
        <v>1</v>
      </c>
      <c r="D840">
        <v>1</v>
      </c>
      <c r="E840">
        <v>4</v>
      </c>
    </row>
    <row r="841" spans="1:5" x14ac:dyDescent="0.2">
      <c r="A841" t="s">
        <v>855</v>
      </c>
      <c r="B841" t="s">
        <v>12</v>
      </c>
      <c r="C841">
        <v>1</v>
      </c>
      <c r="D841">
        <v>1</v>
      </c>
      <c r="E841">
        <v>4</v>
      </c>
    </row>
    <row r="842" spans="1:5" x14ac:dyDescent="0.2">
      <c r="A842" t="s">
        <v>856</v>
      </c>
      <c r="B842" t="s">
        <v>38</v>
      </c>
      <c r="C842">
        <v>0</v>
      </c>
      <c r="D842">
        <v>0</v>
      </c>
      <c r="E842">
        <v>5</v>
      </c>
    </row>
    <row r="843" spans="1:5" x14ac:dyDescent="0.2">
      <c r="A843" t="s">
        <v>857</v>
      </c>
      <c r="B843" t="s">
        <v>12</v>
      </c>
      <c r="C843">
        <v>1</v>
      </c>
      <c r="D843">
        <v>1</v>
      </c>
      <c r="E843">
        <v>1</v>
      </c>
    </row>
    <row r="844" spans="1:5" x14ac:dyDescent="0.2">
      <c r="A844" t="s">
        <v>858</v>
      </c>
      <c r="B844" t="s">
        <v>21</v>
      </c>
      <c r="C844">
        <v>0</v>
      </c>
      <c r="D844">
        <v>0</v>
      </c>
      <c r="E844">
        <v>4</v>
      </c>
    </row>
    <row r="845" spans="1:5" x14ac:dyDescent="0.2">
      <c r="A845" t="s">
        <v>859</v>
      </c>
      <c r="B845" t="s">
        <v>21</v>
      </c>
      <c r="C845">
        <v>0</v>
      </c>
      <c r="D845">
        <v>1</v>
      </c>
      <c r="E845">
        <v>5</v>
      </c>
    </row>
    <row r="846" spans="1:5" x14ac:dyDescent="0.2">
      <c r="A846" t="s">
        <v>860</v>
      </c>
      <c r="B846" t="s">
        <v>21</v>
      </c>
      <c r="C846">
        <v>0</v>
      </c>
      <c r="D846">
        <v>1</v>
      </c>
      <c r="E846">
        <v>3</v>
      </c>
    </row>
    <row r="847" spans="1:5" x14ac:dyDescent="0.2">
      <c r="A847" t="s">
        <v>861</v>
      </c>
      <c r="B847" t="s">
        <v>33</v>
      </c>
      <c r="C847">
        <v>1</v>
      </c>
      <c r="D847">
        <v>1</v>
      </c>
      <c r="E847">
        <v>5</v>
      </c>
    </row>
    <row r="848" spans="1:5" x14ac:dyDescent="0.2">
      <c r="A848" t="s">
        <v>862</v>
      </c>
      <c r="B848" t="s">
        <v>33</v>
      </c>
      <c r="C848">
        <v>1</v>
      </c>
      <c r="D848">
        <v>0</v>
      </c>
      <c r="E848">
        <v>5</v>
      </c>
    </row>
    <row r="849" spans="1:5" x14ac:dyDescent="0.2">
      <c r="A849" t="s">
        <v>863</v>
      </c>
      <c r="B849" t="s">
        <v>14</v>
      </c>
      <c r="C849">
        <v>1</v>
      </c>
      <c r="D849">
        <v>1</v>
      </c>
      <c r="E849">
        <v>1</v>
      </c>
    </row>
    <row r="850" spans="1:5" x14ac:dyDescent="0.2">
      <c r="A850" t="s">
        <v>864</v>
      </c>
      <c r="B850" t="s">
        <v>36</v>
      </c>
      <c r="C850">
        <v>1</v>
      </c>
      <c r="D850">
        <v>1</v>
      </c>
      <c r="E850">
        <v>1</v>
      </c>
    </row>
    <row r="851" spans="1:5" x14ac:dyDescent="0.2">
      <c r="A851" t="s">
        <v>865</v>
      </c>
      <c r="B851" t="s">
        <v>38</v>
      </c>
      <c r="C851">
        <v>0</v>
      </c>
      <c r="D851">
        <v>1</v>
      </c>
      <c r="E851">
        <v>5</v>
      </c>
    </row>
    <row r="852" spans="1:5" x14ac:dyDescent="0.2">
      <c r="A852" t="s">
        <v>866</v>
      </c>
      <c r="B852" t="s">
        <v>38</v>
      </c>
      <c r="C852">
        <v>0</v>
      </c>
      <c r="D852">
        <v>1</v>
      </c>
      <c r="E852">
        <v>3</v>
      </c>
    </row>
    <row r="853" spans="1:5" x14ac:dyDescent="0.2">
      <c r="A853" t="s">
        <v>867</v>
      </c>
      <c r="B853" t="s">
        <v>10</v>
      </c>
      <c r="C853">
        <v>1</v>
      </c>
      <c r="D853">
        <v>1</v>
      </c>
      <c r="E853">
        <v>4</v>
      </c>
    </row>
    <row r="854" spans="1:5" x14ac:dyDescent="0.2">
      <c r="A854" t="s">
        <v>868</v>
      </c>
      <c r="B854" t="s">
        <v>10</v>
      </c>
      <c r="C854">
        <v>1</v>
      </c>
      <c r="D854">
        <v>0</v>
      </c>
      <c r="E854">
        <v>2</v>
      </c>
    </row>
    <row r="855" spans="1:5" x14ac:dyDescent="0.2">
      <c r="A855" t="s">
        <v>869</v>
      </c>
      <c r="B855" t="s">
        <v>14</v>
      </c>
      <c r="C855">
        <v>0</v>
      </c>
      <c r="D855">
        <v>1</v>
      </c>
      <c r="E855">
        <v>3</v>
      </c>
    </row>
    <row r="856" spans="1:5" x14ac:dyDescent="0.2">
      <c r="A856" t="s">
        <v>870</v>
      </c>
      <c r="B856" t="s">
        <v>38</v>
      </c>
      <c r="C856">
        <v>1</v>
      </c>
      <c r="D856">
        <v>0</v>
      </c>
      <c r="E856">
        <v>3</v>
      </c>
    </row>
    <row r="857" spans="1:5" x14ac:dyDescent="0.2">
      <c r="A857" t="s">
        <v>871</v>
      </c>
      <c r="B857" t="s">
        <v>36</v>
      </c>
      <c r="C857">
        <v>0</v>
      </c>
      <c r="D857">
        <v>0</v>
      </c>
      <c r="E857">
        <v>3</v>
      </c>
    </row>
    <row r="858" spans="1:5" x14ac:dyDescent="0.2">
      <c r="A858" t="s">
        <v>872</v>
      </c>
      <c r="B858" t="s">
        <v>12</v>
      </c>
      <c r="C858">
        <v>0</v>
      </c>
      <c r="D858">
        <v>0</v>
      </c>
      <c r="E858">
        <v>3</v>
      </c>
    </row>
    <row r="859" spans="1:5" x14ac:dyDescent="0.2">
      <c r="A859" t="s">
        <v>873</v>
      </c>
      <c r="B859" t="s">
        <v>12</v>
      </c>
      <c r="C859">
        <v>0</v>
      </c>
      <c r="D859">
        <v>1</v>
      </c>
      <c r="E859">
        <v>1</v>
      </c>
    </row>
    <row r="860" spans="1:5" x14ac:dyDescent="0.2">
      <c r="A860" t="s">
        <v>874</v>
      </c>
      <c r="B860" t="s">
        <v>36</v>
      </c>
      <c r="C860">
        <v>0</v>
      </c>
      <c r="D860">
        <v>1</v>
      </c>
      <c r="E860">
        <v>1</v>
      </c>
    </row>
    <row r="861" spans="1:5" x14ac:dyDescent="0.2">
      <c r="A861" t="s">
        <v>875</v>
      </c>
      <c r="B861" t="s">
        <v>36</v>
      </c>
      <c r="C861">
        <v>0</v>
      </c>
      <c r="D861">
        <v>1</v>
      </c>
      <c r="E861">
        <v>2</v>
      </c>
    </row>
    <row r="862" spans="1:5" x14ac:dyDescent="0.2">
      <c r="A862" t="s">
        <v>876</v>
      </c>
      <c r="B862" t="s">
        <v>14</v>
      </c>
      <c r="C862">
        <v>0</v>
      </c>
      <c r="D862">
        <v>1</v>
      </c>
      <c r="E862">
        <v>5</v>
      </c>
    </row>
    <row r="863" spans="1:5" x14ac:dyDescent="0.2">
      <c r="A863" t="s">
        <v>877</v>
      </c>
      <c r="B863" t="s">
        <v>21</v>
      </c>
      <c r="C863">
        <v>1</v>
      </c>
      <c r="D863">
        <v>0</v>
      </c>
      <c r="E863">
        <v>5</v>
      </c>
    </row>
    <row r="864" spans="1:5" x14ac:dyDescent="0.2">
      <c r="A864" t="s">
        <v>878</v>
      </c>
      <c r="B864" t="s">
        <v>21</v>
      </c>
      <c r="C864">
        <v>1</v>
      </c>
      <c r="D864">
        <v>0</v>
      </c>
      <c r="E864">
        <v>5</v>
      </c>
    </row>
    <row r="865" spans="1:5" x14ac:dyDescent="0.2">
      <c r="A865" t="s">
        <v>879</v>
      </c>
      <c r="B865" t="s">
        <v>8</v>
      </c>
      <c r="C865">
        <v>0</v>
      </c>
      <c r="D865">
        <v>0</v>
      </c>
      <c r="E865">
        <v>3</v>
      </c>
    </row>
    <row r="866" spans="1:5" x14ac:dyDescent="0.2">
      <c r="A866" t="s">
        <v>880</v>
      </c>
      <c r="B866" t="s">
        <v>125</v>
      </c>
      <c r="C866">
        <v>1</v>
      </c>
      <c r="D866">
        <v>1</v>
      </c>
      <c r="E866">
        <v>1</v>
      </c>
    </row>
    <row r="867" spans="1:5" x14ac:dyDescent="0.2">
      <c r="A867" t="s">
        <v>881</v>
      </c>
      <c r="B867" t="s">
        <v>36</v>
      </c>
      <c r="C867">
        <v>1</v>
      </c>
      <c r="D867">
        <v>0</v>
      </c>
      <c r="E867">
        <v>2</v>
      </c>
    </row>
    <row r="868" spans="1:5" x14ac:dyDescent="0.2">
      <c r="A868" t="s">
        <v>882</v>
      </c>
      <c r="B868" t="s">
        <v>16</v>
      </c>
      <c r="C868">
        <v>0</v>
      </c>
      <c r="D868">
        <v>0</v>
      </c>
      <c r="E868">
        <v>4</v>
      </c>
    </row>
    <row r="869" spans="1:5" x14ac:dyDescent="0.2">
      <c r="A869" t="s">
        <v>883</v>
      </c>
      <c r="B869" t="s">
        <v>33</v>
      </c>
      <c r="C869">
        <v>0</v>
      </c>
      <c r="D869">
        <v>1</v>
      </c>
      <c r="E869">
        <v>3</v>
      </c>
    </row>
    <row r="870" spans="1:5" x14ac:dyDescent="0.2">
      <c r="A870" t="s">
        <v>884</v>
      </c>
      <c r="B870" t="s">
        <v>6</v>
      </c>
      <c r="C870">
        <v>0</v>
      </c>
      <c r="D870">
        <v>0</v>
      </c>
      <c r="E870">
        <v>3</v>
      </c>
    </row>
    <row r="871" spans="1:5" x14ac:dyDescent="0.2">
      <c r="A871" t="s">
        <v>885</v>
      </c>
      <c r="B871" t="s">
        <v>16</v>
      </c>
      <c r="C871">
        <v>1</v>
      </c>
      <c r="D871">
        <v>1</v>
      </c>
      <c r="E871">
        <v>2</v>
      </c>
    </row>
    <row r="872" spans="1:5" x14ac:dyDescent="0.2">
      <c r="A872" t="s">
        <v>886</v>
      </c>
      <c r="B872" t="s">
        <v>36</v>
      </c>
      <c r="C872">
        <v>1</v>
      </c>
      <c r="D872">
        <v>1</v>
      </c>
      <c r="E872">
        <v>3</v>
      </c>
    </row>
    <row r="873" spans="1:5" x14ac:dyDescent="0.2">
      <c r="A873" t="s">
        <v>887</v>
      </c>
      <c r="B873" t="s">
        <v>33</v>
      </c>
      <c r="C873">
        <v>1</v>
      </c>
      <c r="D873">
        <v>1</v>
      </c>
      <c r="E873">
        <v>5</v>
      </c>
    </row>
    <row r="874" spans="1:5" x14ac:dyDescent="0.2">
      <c r="A874" t="s">
        <v>888</v>
      </c>
      <c r="B874" t="s">
        <v>38</v>
      </c>
      <c r="C874">
        <v>1</v>
      </c>
      <c r="D874">
        <v>1</v>
      </c>
      <c r="E874">
        <v>2</v>
      </c>
    </row>
    <row r="875" spans="1:5" x14ac:dyDescent="0.2">
      <c r="A875" t="s">
        <v>889</v>
      </c>
      <c r="B875" t="s">
        <v>12</v>
      </c>
      <c r="C875">
        <v>1</v>
      </c>
      <c r="D875">
        <v>0</v>
      </c>
      <c r="E875">
        <v>5</v>
      </c>
    </row>
    <row r="876" spans="1:5" x14ac:dyDescent="0.2">
      <c r="A876" t="s">
        <v>890</v>
      </c>
      <c r="B876" t="s">
        <v>16</v>
      </c>
      <c r="C876">
        <v>1</v>
      </c>
      <c r="D876">
        <v>1</v>
      </c>
      <c r="E876">
        <v>3</v>
      </c>
    </row>
    <row r="877" spans="1:5" x14ac:dyDescent="0.2">
      <c r="A877" t="s">
        <v>891</v>
      </c>
      <c r="B877" t="s">
        <v>14</v>
      </c>
      <c r="C877">
        <v>0</v>
      </c>
      <c r="D877">
        <v>1</v>
      </c>
      <c r="E877">
        <v>3</v>
      </c>
    </row>
    <row r="878" spans="1:5" x14ac:dyDescent="0.2">
      <c r="A878" t="s">
        <v>892</v>
      </c>
      <c r="B878" t="s">
        <v>10</v>
      </c>
      <c r="C878">
        <v>1</v>
      </c>
      <c r="D878">
        <v>1</v>
      </c>
      <c r="E878">
        <v>1</v>
      </c>
    </row>
    <row r="879" spans="1:5" x14ac:dyDescent="0.2">
      <c r="A879" t="s">
        <v>893</v>
      </c>
      <c r="B879" t="s">
        <v>21</v>
      </c>
      <c r="C879">
        <v>0</v>
      </c>
      <c r="D879">
        <v>1</v>
      </c>
      <c r="E879">
        <v>1</v>
      </c>
    </row>
    <row r="880" spans="1:5" x14ac:dyDescent="0.2">
      <c r="A880" t="s">
        <v>894</v>
      </c>
      <c r="B880" t="s">
        <v>14</v>
      </c>
      <c r="C880">
        <v>0</v>
      </c>
      <c r="D880">
        <v>1</v>
      </c>
      <c r="E880">
        <v>2</v>
      </c>
    </row>
    <row r="881" spans="1:5" x14ac:dyDescent="0.2">
      <c r="A881" t="s">
        <v>895</v>
      </c>
      <c r="B881" t="s">
        <v>21</v>
      </c>
      <c r="C881">
        <v>0</v>
      </c>
      <c r="D881">
        <v>1</v>
      </c>
      <c r="E881">
        <v>2</v>
      </c>
    </row>
    <row r="882" spans="1:5" x14ac:dyDescent="0.2">
      <c r="A882" t="s">
        <v>896</v>
      </c>
      <c r="B882" t="s">
        <v>33</v>
      </c>
      <c r="C882">
        <v>0</v>
      </c>
      <c r="D882">
        <v>0</v>
      </c>
      <c r="E882">
        <v>2</v>
      </c>
    </row>
    <row r="883" spans="1:5" x14ac:dyDescent="0.2">
      <c r="A883" t="s">
        <v>897</v>
      </c>
      <c r="B883" t="s">
        <v>12</v>
      </c>
      <c r="C883">
        <v>1</v>
      </c>
      <c r="D883">
        <v>1</v>
      </c>
      <c r="E883">
        <v>2</v>
      </c>
    </row>
    <row r="884" spans="1:5" x14ac:dyDescent="0.2">
      <c r="A884" t="s">
        <v>898</v>
      </c>
      <c r="B884" t="s">
        <v>12</v>
      </c>
      <c r="C884">
        <v>1</v>
      </c>
      <c r="D884">
        <v>0</v>
      </c>
      <c r="E884">
        <v>4</v>
      </c>
    </row>
    <row r="885" spans="1:5" x14ac:dyDescent="0.2">
      <c r="A885" t="s">
        <v>899</v>
      </c>
      <c r="B885" t="s">
        <v>8</v>
      </c>
      <c r="C885">
        <v>0</v>
      </c>
      <c r="D885">
        <v>1</v>
      </c>
      <c r="E885">
        <v>1</v>
      </c>
    </row>
    <row r="886" spans="1:5" x14ac:dyDescent="0.2">
      <c r="A886" t="s">
        <v>900</v>
      </c>
      <c r="B886" t="s">
        <v>16</v>
      </c>
      <c r="C886">
        <v>1</v>
      </c>
      <c r="D886">
        <v>1</v>
      </c>
      <c r="E886">
        <v>1</v>
      </c>
    </row>
    <row r="887" spans="1:5" x14ac:dyDescent="0.2">
      <c r="A887" t="s">
        <v>901</v>
      </c>
      <c r="B887" t="s">
        <v>16</v>
      </c>
      <c r="C887">
        <v>1</v>
      </c>
      <c r="D887">
        <v>1</v>
      </c>
      <c r="E887">
        <v>1</v>
      </c>
    </row>
    <row r="888" spans="1:5" x14ac:dyDescent="0.2">
      <c r="A888" t="s">
        <v>902</v>
      </c>
      <c r="B888" t="s">
        <v>125</v>
      </c>
      <c r="C888">
        <v>1</v>
      </c>
      <c r="D888">
        <v>0</v>
      </c>
      <c r="E888">
        <v>1</v>
      </c>
    </row>
    <row r="889" spans="1:5" x14ac:dyDescent="0.2">
      <c r="A889" t="s">
        <v>903</v>
      </c>
      <c r="B889" t="s">
        <v>38</v>
      </c>
      <c r="C889">
        <v>0</v>
      </c>
      <c r="D889">
        <v>1</v>
      </c>
      <c r="E889">
        <v>3</v>
      </c>
    </row>
    <row r="890" spans="1:5" x14ac:dyDescent="0.2">
      <c r="A890" t="s">
        <v>904</v>
      </c>
      <c r="B890" t="s">
        <v>12</v>
      </c>
      <c r="C890">
        <v>1</v>
      </c>
      <c r="D890">
        <v>1</v>
      </c>
      <c r="E890">
        <v>3</v>
      </c>
    </row>
    <row r="891" spans="1:5" x14ac:dyDescent="0.2">
      <c r="A891" t="s">
        <v>905</v>
      </c>
      <c r="B891" t="s">
        <v>38</v>
      </c>
      <c r="C891">
        <v>0</v>
      </c>
      <c r="D891">
        <v>0</v>
      </c>
      <c r="E891">
        <v>4</v>
      </c>
    </row>
    <row r="892" spans="1:5" x14ac:dyDescent="0.2">
      <c r="A892" t="s">
        <v>906</v>
      </c>
      <c r="B892" t="s">
        <v>16</v>
      </c>
      <c r="C892">
        <v>0</v>
      </c>
      <c r="D892">
        <v>0</v>
      </c>
      <c r="E892">
        <v>5</v>
      </c>
    </row>
    <row r="893" spans="1:5" x14ac:dyDescent="0.2">
      <c r="A893" t="s">
        <v>907</v>
      </c>
      <c r="B893" t="s">
        <v>16</v>
      </c>
      <c r="C893">
        <v>0</v>
      </c>
      <c r="D893">
        <v>1</v>
      </c>
      <c r="E893">
        <v>1</v>
      </c>
    </row>
    <row r="894" spans="1:5" x14ac:dyDescent="0.2">
      <c r="A894" t="s">
        <v>908</v>
      </c>
      <c r="B894" t="s">
        <v>21</v>
      </c>
      <c r="C894">
        <v>1</v>
      </c>
      <c r="D894">
        <v>1</v>
      </c>
      <c r="E894">
        <v>3</v>
      </c>
    </row>
    <row r="895" spans="1:5" x14ac:dyDescent="0.2">
      <c r="A895" t="s">
        <v>909</v>
      </c>
      <c r="B895" t="s">
        <v>14</v>
      </c>
      <c r="C895">
        <v>0</v>
      </c>
      <c r="D895">
        <v>1</v>
      </c>
      <c r="E895">
        <v>3</v>
      </c>
    </row>
    <row r="896" spans="1:5" x14ac:dyDescent="0.2">
      <c r="A896" t="s">
        <v>910</v>
      </c>
      <c r="B896" t="s">
        <v>16</v>
      </c>
      <c r="C896">
        <v>0</v>
      </c>
      <c r="D896">
        <v>0</v>
      </c>
      <c r="E896">
        <v>5</v>
      </c>
    </row>
    <row r="897" spans="1:5" x14ac:dyDescent="0.2">
      <c r="A897" t="s">
        <v>911</v>
      </c>
      <c r="B897" t="s">
        <v>16</v>
      </c>
      <c r="C897">
        <v>1</v>
      </c>
      <c r="D897">
        <v>0</v>
      </c>
      <c r="E897">
        <v>1</v>
      </c>
    </row>
    <row r="898" spans="1:5" x14ac:dyDescent="0.2">
      <c r="A898" t="s">
        <v>912</v>
      </c>
      <c r="B898" t="s">
        <v>14</v>
      </c>
      <c r="C898">
        <v>0</v>
      </c>
      <c r="D898">
        <v>1</v>
      </c>
      <c r="E898">
        <v>5</v>
      </c>
    </row>
    <row r="899" spans="1:5" x14ac:dyDescent="0.2">
      <c r="A899" t="s">
        <v>913</v>
      </c>
      <c r="B899" t="s">
        <v>14</v>
      </c>
      <c r="C899">
        <v>1</v>
      </c>
      <c r="D899">
        <v>1</v>
      </c>
      <c r="E899">
        <v>2</v>
      </c>
    </row>
    <row r="900" spans="1:5" x14ac:dyDescent="0.2">
      <c r="A900" t="s">
        <v>914</v>
      </c>
      <c r="B900" t="s">
        <v>16</v>
      </c>
      <c r="C900">
        <v>0</v>
      </c>
      <c r="D900">
        <v>0</v>
      </c>
      <c r="E900">
        <v>5</v>
      </c>
    </row>
    <row r="901" spans="1:5" x14ac:dyDescent="0.2">
      <c r="A901" t="s">
        <v>915</v>
      </c>
      <c r="B901" t="s">
        <v>12</v>
      </c>
      <c r="C901">
        <v>1</v>
      </c>
      <c r="D901">
        <v>1</v>
      </c>
      <c r="E901">
        <v>3</v>
      </c>
    </row>
    <row r="902" spans="1:5" x14ac:dyDescent="0.2">
      <c r="A902" t="s">
        <v>916</v>
      </c>
      <c r="B902" t="s">
        <v>6</v>
      </c>
      <c r="C902">
        <v>1</v>
      </c>
      <c r="D902">
        <v>1</v>
      </c>
      <c r="E902">
        <v>2</v>
      </c>
    </row>
    <row r="903" spans="1:5" x14ac:dyDescent="0.2">
      <c r="A903" t="s">
        <v>917</v>
      </c>
      <c r="B903" t="s">
        <v>14</v>
      </c>
      <c r="C903">
        <v>0</v>
      </c>
      <c r="D903">
        <v>1</v>
      </c>
      <c r="E903">
        <v>3</v>
      </c>
    </row>
    <row r="904" spans="1:5" x14ac:dyDescent="0.2">
      <c r="A904" t="s">
        <v>918</v>
      </c>
      <c r="B904" t="s">
        <v>12</v>
      </c>
      <c r="C904">
        <v>1</v>
      </c>
      <c r="D904">
        <v>1</v>
      </c>
      <c r="E904">
        <v>4</v>
      </c>
    </row>
    <row r="905" spans="1:5" x14ac:dyDescent="0.2">
      <c r="A905" t="s">
        <v>919</v>
      </c>
      <c r="B905" t="s">
        <v>16</v>
      </c>
      <c r="C905">
        <v>1</v>
      </c>
      <c r="D905">
        <v>1</v>
      </c>
      <c r="E905">
        <v>5</v>
      </c>
    </row>
    <row r="906" spans="1:5" x14ac:dyDescent="0.2">
      <c r="A906" t="s">
        <v>920</v>
      </c>
      <c r="B906" t="s">
        <v>38</v>
      </c>
      <c r="C906">
        <v>1</v>
      </c>
      <c r="D906">
        <v>0</v>
      </c>
      <c r="E906">
        <v>1</v>
      </c>
    </row>
    <row r="907" spans="1:5" x14ac:dyDescent="0.2">
      <c r="A907" t="s">
        <v>921</v>
      </c>
      <c r="B907" t="s">
        <v>8</v>
      </c>
      <c r="C907">
        <v>0</v>
      </c>
      <c r="D907">
        <v>0</v>
      </c>
      <c r="E907">
        <v>1</v>
      </c>
    </row>
    <row r="908" spans="1:5" x14ac:dyDescent="0.2">
      <c r="A908" t="s">
        <v>922</v>
      </c>
      <c r="B908" t="s">
        <v>33</v>
      </c>
      <c r="C908">
        <v>1</v>
      </c>
      <c r="D908">
        <v>1</v>
      </c>
      <c r="E908">
        <v>3</v>
      </c>
    </row>
    <row r="909" spans="1:5" x14ac:dyDescent="0.2">
      <c r="A909" t="s">
        <v>923</v>
      </c>
      <c r="B909" t="s">
        <v>36</v>
      </c>
      <c r="C909">
        <v>1</v>
      </c>
      <c r="D909">
        <v>1</v>
      </c>
      <c r="E909">
        <v>1</v>
      </c>
    </row>
    <row r="910" spans="1:5" x14ac:dyDescent="0.2">
      <c r="A910" t="s">
        <v>924</v>
      </c>
      <c r="B910" t="s">
        <v>12</v>
      </c>
      <c r="C910">
        <v>0</v>
      </c>
      <c r="D910">
        <v>0</v>
      </c>
      <c r="E910">
        <v>1</v>
      </c>
    </row>
    <row r="911" spans="1:5" x14ac:dyDescent="0.2">
      <c r="A911" t="s">
        <v>925</v>
      </c>
      <c r="B911" t="s">
        <v>10</v>
      </c>
      <c r="C911">
        <v>0</v>
      </c>
      <c r="D911">
        <v>0</v>
      </c>
      <c r="E911">
        <v>4</v>
      </c>
    </row>
    <row r="912" spans="1:5" x14ac:dyDescent="0.2">
      <c r="A912" t="s">
        <v>926</v>
      </c>
      <c r="B912" t="s">
        <v>10</v>
      </c>
      <c r="C912">
        <v>1</v>
      </c>
      <c r="D912">
        <v>0</v>
      </c>
      <c r="E912">
        <v>5</v>
      </c>
    </row>
    <row r="913" spans="1:5" x14ac:dyDescent="0.2">
      <c r="A913" t="s">
        <v>927</v>
      </c>
      <c r="B913" t="s">
        <v>12</v>
      </c>
      <c r="C913">
        <v>1</v>
      </c>
      <c r="D913">
        <v>1</v>
      </c>
      <c r="E913">
        <v>1</v>
      </c>
    </row>
    <row r="914" spans="1:5" x14ac:dyDescent="0.2">
      <c r="A914" t="s">
        <v>928</v>
      </c>
      <c r="B914" t="s">
        <v>33</v>
      </c>
      <c r="C914">
        <v>1</v>
      </c>
      <c r="D914">
        <v>1</v>
      </c>
      <c r="E914">
        <v>3</v>
      </c>
    </row>
    <row r="915" spans="1:5" x14ac:dyDescent="0.2">
      <c r="A915" t="s">
        <v>929</v>
      </c>
      <c r="B915" t="s">
        <v>12</v>
      </c>
      <c r="C915">
        <v>1</v>
      </c>
      <c r="D915">
        <v>0</v>
      </c>
      <c r="E915">
        <v>5</v>
      </c>
    </row>
    <row r="916" spans="1:5" x14ac:dyDescent="0.2">
      <c r="A916" t="s">
        <v>930</v>
      </c>
      <c r="B916" t="s">
        <v>36</v>
      </c>
      <c r="C916">
        <v>1</v>
      </c>
      <c r="D916">
        <v>1</v>
      </c>
      <c r="E916">
        <v>2</v>
      </c>
    </row>
    <row r="917" spans="1:5" x14ac:dyDescent="0.2">
      <c r="A917" t="s">
        <v>931</v>
      </c>
      <c r="B917" t="s">
        <v>21</v>
      </c>
      <c r="C917">
        <v>1</v>
      </c>
      <c r="D917">
        <v>1</v>
      </c>
      <c r="E917">
        <v>5</v>
      </c>
    </row>
    <row r="918" spans="1:5" x14ac:dyDescent="0.2">
      <c r="A918" t="s">
        <v>932</v>
      </c>
      <c r="B918" t="s">
        <v>21</v>
      </c>
      <c r="C918">
        <v>1</v>
      </c>
      <c r="D918">
        <v>0</v>
      </c>
      <c r="E918">
        <v>2</v>
      </c>
    </row>
    <row r="919" spans="1:5" x14ac:dyDescent="0.2">
      <c r="A919" t="s">
        <v>933</v>
      </c>
      <c r="B919" t="s">
        <v>10</v>
      </c>
      <c r="C919">
        <v>1</v>
      </c>
      <c r="D919">
        <v>1</v>
      </c>
      <c r="E919">
        <v>1</v>
      </c>
    </row>
    <row r="920" spans="1:5" x14ac:dyDescent="0.2">
      <c r="A920" t="s">
        <v>934</v>
      </c>
      <c r="B920" t="s">
        <v>16</v>
      </c>
      <c r="C920">
        <v>0</v>
      </c>
      <c r="D920">
        <v>0</v>
      </c>
      <c r="E920">
        <v>5</v>
      </c>
    </row>
    <row r="921" spans="1:5" x14ac:dyDescent="0.2">
      <c r="A921" t="s">
        <v>935</v>
      </c>
      <c r="B921" t="s">
        <v>21</v>
      </c>
      <c r="C921">
        <v>0</v>
      </c>
      <c r="D921">
        <v>1</v>
      </c>
      <c r="E921">
        <v>1</v>
      </c>
    </row>
    <row r="922" spans="1:5" x14ac:dyDescent="0.2">
      <c r="A922" t="s">
        <v>936</v>
      </c>
      <c r="B922" t="s">
        <v>16</v>
      </c>
      <c r="C922">
        <v>1</v>
      </c>
      <c r="D922">
        <v>0</v>
      </c>
      <c r="E922">
        <v>4</v>
      </c>
    </row>
    <row r="923" spans="1:5" x14ac:dyDescent="0.2">
      <c r="A923" t="s">
        <v>937</v>
      </c>
      <c r="B923" t="s">
        <v>21</v>
      </c>
      <c r="C923">
        <v>1</v>
      </c>
      <c r="D923">
        <v>0</v>
      </c>
      <c r="E923">
        <v>3</v>
      </c>
    </row>
    <row r="924" spans="1:5" x14ac:dyDescent="0.2">
      <c r="A924" t="s">
        <v>938</v>
      </c>
      <c r="B924" t="s">
        <v>12</v>
      </c>
      <c r="C924">
        <v>0</v>
      </c>
      <c r="D924">
        <v>1</v>
      </c>
      <c r="E924">
        <v>2</v>
      </c>
    </row>
    <row r="925" spans="1:5" x14ac:dyDescent="0.2">
      <c r="A925" t="s">
        <v>939</v>
      </c>
      <c r="B925" t="s">
        <v>10</v>
      </c>
      <c r="C925">
        <v>1</v>
      </c>
      <c r="D925">
        <v>0</v>
      </c>
      <c r="E925">
        <v>2</v>
      </c>
    </row>
    <row r="926" spans="1:5" x14ac:dyDescent="0.2">
      <c r="A926" t="s">
        <v>940</v>
      </c>
      <c r="B926" t="s">
        <v>33</v>
      </c>
      <c r="C926">
        <v>0</v>
      </c>
      <c r="D926">
        <v>0</v>
      </c>
      <c r="E926">
        <v>5</v>
      </c>
    </row>
    <row r="927" spans="1:5" x14ac:dyDescent="0.2">
      <c r="A927" t="s">
        <v>941</v>
      </c>
      <c r="B927" t="s">
        <v>36</v>
      </c>
      <c r="C927">
        <v>1</v>
      </c>
      <c r="D927">
        <v>1</v>
      </c>
      <c r="E927">
        <v>1</v>
      </c>
    </row>
    <row r="928" spans="1:5" x14ac:dyDescent="0.2">
      <c r="A928" t="s">
        <v>942</v>
      </c>
      <c r="B928" t="s">
        <v>8</v>
      </c>
      <c r="C928">
        <v>0</v>
      </c>
      <c r="D928">
        <v>1</v>
      </c>
      <c r="E928">
        <v>5</v>
      </c>
    </row>
    <row r="929" spans="1:5" x14ac:dyDescent="0.2">
      <c r="A929" t="s">
        <v>943</v>
      </c>
      <c r="B929" t="s">
        <v>33</v>
      </c>
      <c r="C929">
        <v>0</v>
      </c>
      <c r="D929">
        <v>0</v>
      </c>
      <c r="E929">
        <v>5</v>
      </c>
    </row>
    <row r="930" spans="1:5" x14ac:dyDescent="0.2">
      <c r="A930" t="s">
        <v>944</v>
      </c>
      <c r="B930" t="s">
        <v>8</v>
      </c>
      <c r="C930">
        <v>1</v>
      </c>
      <c r="D930">
        <v>0</v>
      </c>
      <c r="E930">
        <v>1</v>
      </c>
    </row>
    <row r="931" spans="1:5" x14ac:dyDescent="0.2">
      <c r="A931" t="s">
        <v>945</v>
      </c>
      <c r="B931" t="s">
        <v>14</v>
      </c>
      <c r="C931">
        <v>1</v>
      </c>
      <c r="D931">
        <v>0</v>
      </c>
      <c r="E931">
        <v>1</v>
      </c>
    </row>
    <row r="932" spans="1:5" x14ac:dyDescent="0.2">
      <c r="A932" t="s">
        <v>946</v>
      </c>
      <c r="B932" t="s">
        <v>6</v>
      </c>
      <c r="C932">
        <v>0</v>
      </c>
      <c r="D932">
        <v>0</v>
      </c>
      <c r="E932">
        <v>5</v>
      </c>
    </row>
    <row r="933" spans="1:5" x14ac:dyDescent="0.2">
      <c r="A933" t="s">
        <v>947</v>
      </c>
      <c r="B933" t="s">
        <v>33</v>
      </c>
      <c r="C933">
        <v>0</v>
      </c>
      <c r="D933">
        <v>1</v>
      </c>
      <c r="E933">
        <v>1</v>
      </c>
    </row>
    <row r="934" spans="1:5" x14ac:dyDescent="0.2">
      <c r="A934" t="s">
        <v>948</v>
      </c>
      <c r="B934" t="s">
        <v>36</v>
      </c>
      <c r="C934">
        <v>0</v>
      </c>
      <c r="D934">
        <v>1</v>
      </c>
      <c r="E934">
        <v>5</v>
      </c>
    </row>
    <row r="935" spans="1:5" x14ac:dyDescent="0.2">
      <c r="A935" t="s">
        <v>949</v>
      </c>
      <c r="B935" t="s">
        <v>16</v>
      </c>
      <c r="C935">
        <v>0</v>
      </c>
      <c r="D935">
        <v>0</v>
      </c>
      <c r="E935">
        <v>3</v>
      </c>
    </row>
    <row r="936" spans="1:5" x14ac:dyDescent="0.2">
      <c r="A936" t="s">
        <v>950</v>
      </c>
      <c r="B936" t="s">
        <v>16</v>
      </c>
      <c r="C936">
        <v>1</v>
      </c>
      <c r="D936">
        <v>1</v>
      </c>
      <c r="E936">
        <v>2</v>
      </c>
    </row>
    <row r="937" spans="1:5" x14ac:dyDescent="0.2">
      <c r="A937" t="s">
        <v>951</v>
      </c>
      <c r="B937" t="s">
        <v>36</v>
      </c>
      <c r="C937">
        <v>0</v>
      </c>
      <c r="D937">
        <v>1</v>
      </c>
      <c r="E937">
        <v>4</v>
      </c>
    </row>
    <row r="938" spans="1:5" x14ac:dyDescent="0.2">
      <c r="A938" t="s">
        <v>952</v>
      </c>
      <c r="B938" t="s">
        <v>38</v>
      </c>
      <c r="C938">
        <v>0</v>
      </c>
      <c r="D938">
        <v>1</v>
      </c>
      <c r="E938">
        <v>5</v>
      </c>
    </row>
    <row r="939" spans="1:5" x14ac:dyDescent="0.2">
      <c r="A939" t="s">
        <v>953</v>
      </c>
      <c r="B939" t="s">
        <v>36</v>
      </c>
      <c r="C939">
        <v>0</v>
      </c>
      <c r="D939">
        <v>1</v>
      </c>
      <c r="E939">
        <v>3</v>
      </c>
    </row>
    <row r="940" spans="1:5" x14ac:dyDescent="0.2">
      <c r="A940" t="s">
        <v>954</v>
      </c>
      <c r="B940" t="s">
        <v>36</v>
      </c>
      <c r="C940">
        <v>0</v>
      </c>
      <c r="D940">
        <v>0</v>
      </c>
      <c r="E940">
        <v>3</v>
      </c>
    </row>
    <row r="941" spans="1:5" x14ac:dyDescent="0.2">
      <c r="A941" t="s">
        <v>955</v>
      </c>
      <c r="B941" t="s">
        <v>8</v>
      </c>
      <c r="C941">
        <v>0</v>
      </c>
      <c r="D941">
        <v>0</v>
      </c>
      <c r="E941">
        <v>1</v>
      </c>
    </row>
    <row r="942" spans="1:5" x14ac:dyDescent="0.2">
      <c r="A942" t="s">
        <v>956</v>
      </c>
      <c r="B942" t="s">
        <v>33</v>
      </c>
      <c r="C942">
        <v>1</v>
      </c>
      <c r="D942">
        <v>0</v>
      </c>
      <c r="E942">
        <v>3</v>
      </c>
    </row>
    <row r="943" spans="1:5" x14ac:dyDescent="0.2">
      <c r="A943" t="s">
        <v>957</v>
      </c>
      <c r="B943" t="s">
        <v>36</v>
      </c>
      <c r="C943">
        <v>0</v>
      </c>
      <c r="D943">
        <v>0</v>
      </c>
      <c r="E943">
        <v>5</v>
      </c>
    </row>
    <row r="944" spans="1:5" x14ac:dyDescent="0.2">
      <c r="A944" t="s">
        <v>958</v>
      </c>
      <c r="B944" t="s">
        <v>38</v>
      </c>
      <c r="C944">
        <v>1</v>
      </c>
      <c r="D944">
        <v>1</v>
      </c>
      <c r="E944">
        <v>5</v>
      </c>
    </row>
    <row r="945" spans="1:5" x14ac:dyDescent="0.2">
      <c r="A945" t="s">
        <v>959</v>
      </c>
      <c r="B945" t="s">
        <v>14</v>
      </c>
      <c r="C945">
        <v>1</v>
      </c>
      <c r="D945">
        <v>1</v>
      </c>
      <c r="E945">
        <v>2</v>
      </c>
    </row>
    <row r="946" spans="1:5" x14ac:dyDescent="0.2">
      <c r="A946" t="s">
        <v>960</v>
      </c>
      <c r="B946" t="s">
        <v>14</v>
      </c>
      <c r="C946">
        <v>1</v>
      </c>
      <c r="D946">
        <v>1</v>
      </c>
      <c r="E946">
        <v>4</v>
      </c>
    </row>
    <row r="947" spans="1:5" x14ac:dyDescent="0.2">
      <c r="A947" t="s">
        <v>961</v>
      </c>
      <c r="B947" t="s">
        <v>14</v>
      </c>
      <c r="C947">
        <v>1</v>
      </c>
      <c r="D947">
        <v>1</v>
      </c>
      <c r="E947">
        <v>5</v>
      </c>
    </row>
    <row r="948" spans="1:5" x14ac:dyDescent="0.2">
      <c r="A948" t="s">
        <v>962</v>
      </c>
      <c r="B948" t="s">
        <v>10</v>
      </c>
      <c r="C948">
        <v>1</v>
      </c>
      <c r="D948">
        <v>0</v>
      </c>
      <c r="E948">
        <v>1</v>
      </c>
    </row>
    <row r="949" spans="1:5" x14ac:dyDescent="0.2">
      <c r="A949" t="s">
        <v>963</v>
      </c>
      <c r="B949" t="s">
        <v>12</v>
      </c>
      <c r="C949">
        <v>1</v>
      </c>
      <c r="D949">
        <v>0</v>
      </c>
      <c r="E949">
        <v>4</v>
      </c>
    </row>
    <row r="950" spans="1:5" x14ac:dyDescent="0.2">
      <c r="A950" t="s">
        <v>964</v>
      </c>
      <c r="B950" t="s">
        <v>38</v>
      </c>
      <c r="C950">
        <v>0</v>
      </c>
      <c r="D950">
        <v>1</v>
      </c>
      <c r="E950">
        <v>5</v>
      </c>
    </row>
    <row r="951" spans="1:5" x14ac:dyDescent="0.2">
      <c r="A951" t="s">
        <v>965</v>
      </c>
      <c r="B951" t="s">
        <v>21</v>
      </c>
      <c r="C951">
        <v>0</v>
      </c>
      <c r="D951">
        <v>1</v>
      </c>
      <c r="E951">
        <v>5</v>
      </c>
    </row>
    <row r="952" spans="1:5" x14ac:dyDescent="0.2">
      <c r="A952" t="s">
        <v>966</v>
      </c>
      <c r="B952" t="s">
        <v>33</v>
      </c>
      <c r="C952">
        <v>0</v>
      </c>
      <c r="D952">
        <v>1</v>
      </c>
      <c r="E952">
        <v>1</v>
      </c>
    </row>
    <row r="953" spans="1:5" x14ac:dyDescent="0.2">
      <c r="A953" t="s">
        <v>967</v>
      </c>
      <c r="B953" t="s">
        <v>10</v>
      </c>
      <c r="C953">
        <v>0</v>
      </c>
      <c r="D953">
        <v>0</v>
      </c>
      <c r="E953">
        <v>3</v>
      </c>
    </row>
    <row r="954" spans="1:5" x14ac:dyDescent="0.2">
      <c r="A954" t="s">
        <v>968</v>
      </c>
      <c r="B954" t="s">
        <v>38</v>
      </c>
      <c r="C954">
        <v>0</v>
      </c>
      <c r="D954">
        <v>1</v>
      </c>
      <c r="E954">
        <v>4</v>
      </c>
    </row>
    <row r="955" spans="1:5" x14ac:dyDescent="0.2">
      <c r="A955" t="s">
        <v>969</v>
      </c>
      <c r="B955" t="s">
        <v>14</v>
      </c>
      <c r="C955">
        <v>0</v>
      </c>
      <c r="D955">
        <v>0</v>
      </c>
      <c r="E955">
        <v>3</v>
      </c>
    </row>
    <row r="956" spans="1:5" x14ac:dyDescent="0.2">
      <c r="A956" t="s">
        <v>970</v>
      </c>
      <c r="B956" t="s">
        <v>21</v>
      </c>
      <c r="C956">
        <v>1</v>
      </c>
      <c r="D956">
        <v>1</v>
      </c>
      <c r="E956">
        <v>5</v>
      </c>
    </row>
    <row r="957" spans="1:5" x14ac:dyDescent="0.2">
      <c r="A957" t="s">
        <v>971</v>
      </c>
      <c r="B957" t="s">
        <v>12</v>
      </c>
      <c r="C957">
        <v>0</v>
      </c>
      <c r="D957">
        <v>1</v>
      </c>
      <c r="E957">
        <v>3</v>
      </c>
    </row>
    <row r="958" spans="1:5" x14ac:dyDescent="0.2">
      <c r="A958" t="s">
        <v>972</v>
      </c>
      <c r="B958" t="s">
        <v>8</v>
      </c>
      <c r="C958">
        <v>1</v>
      </c>
      <c r="D958">
        <v>0</v>
      </c>
      <c r="E958">
        <v>4</v>
      </c>
    </row>
    <row r="959" spans="1:5" x14ac:dyDescent="0.2">
      <c r="A959" t="s">
        <v>973</v>
      </c>
      <c r="B959" t="s">
        <v>8</v>
      </c>
      <c r="C959">
        <v>1</v>
      </c>
      <c r="D959">
        <v>1</v>
      </c>
      <c r="E959">
        <v>3</v>
      </c>
    </row>
    <row r="960" spans="1:5" x14ac:dyDescent="0.2">
      <c r="A960" t="s">
        <v>974</v>
      </c>
      <c r="B960" t="s">
        <v>8</v>
      </c>
      <c r="C960">
        <v>0</v>
      </c>
      <c r="D960">
        <v>1</v>
      </c>
      <c r="E960">
        <v>2</v>
      </c>
    </row>
    <row r="961" spans="1:5" x14ac:dyDescent="0.2">
      <c r="A961" t="s">
        <v>975</v>
      </c>
      <c r="B961" t="s">
        <v>10</v>
      </c>
      <c r="C961">
        <v>0</v>
      </c>
      <c r="D961">
        <v>1</v>
      </c>
      <c r="E961">
        <v>4</v>
      </c>
    </row>
    <row r="962" spans="1:5" x14ac:dyDescent="0.2">
      <c r="A962" t="s">
        <v>976</v>
      </c>
      <c r="B962" t="s">
        <v>36</v>
      </c>
      <c r="C962">
        <v>0</v>
      </c>
      <c r="D962">
        <v>1</v>
      </c>
      <c r="E962">
        <v>4</v>
      </c>
    </row>
    <row r="963" spans="1:5" x14ac:dyDescent="0.2">
      <c r="A963" t="s">
        <v>977</v>
      </c>
      <c r="B963" t="s">
        <v>33</v>
      </c>
      <c r="C963">
        <v>1</v>
      </c>
      <c r="D963">
        <v>1</v>
      </c>
      <c r="E963">
        <v>1</v>
      </c>
    </row>
    <row r="964" spans="1:5" x14ac:dyDescent="0.2">
      <c r="A964" t="s">
        <v>978</v>
      </c>
      <c r="B964" t="s">
        <v>12</v>
      </c>
      <c r="C964">
        <v>0</v>
      </c>
      <c r="D964">
        <v>1</v>
      </c>
      <c r="E964">
        <v>2</v>
      </c>
    </row>
    <row r="965" spans="1:5" x14ac:dyDescent="0.2">
      <c r="A965" t="s">
        <v>979</v>
      </c>
      <c r="B965" t="s">
        <v>36</v>
      </c>
      <c r="C965">
        <v>1</v>
      </c>
      <c r="D965">
        <v>0</v>
      </c>
      <c r="E965">
        <v>2</v>
      </c>
    </row>
    <row r="966" spans="1:5" x14ac:dyDescent="0.2">
      <c r="A966" t="s">
        <v>980</v>
      </c>
      <c r="B966" t="s">
        <v>21</v>
      </c>
      <c r="C966">
        <v>1</v>
      </c>
      <c r="D966">
        <v>1</v>
      </c>
      <c r="E966">
        <v>4</v>
      </c>
    </row>
    <row r="967" spans="1:5" x14ac:dyDescent="0.2">
      <c r="A967" t="s">
        <v>981</v>
      </c>
      <c r="B967" t="s">
        <v>16</v>
      </c>
      <c r="C967">
        <v>1</v>
      </c>
      <c r="D967">
        <v>0</v>
      </c>
      <c r="E967">
        <v>5</v>
      </c>
    </row>
    <row r="968" spans="1:5" x14ac:dyDescent="0.2">
      <c r="A968" t="s">
        <v>982</v>
      </c>
      <c r="B968" t="s">
        <v>14</v>
      </c>
      <c r="C968">
        <v>1</v>
      </c>
      <c r="D968">
        <v>1</v>
      </c>
      <c r="E968">
        <v>1</v>
      </c>
    </row>
    <row r="969" spans="1:5" x14ac:dyDescent="0.2">
      <c r="A969" t="s">
        <v>983</v>
      </c>
      <c r="B969" t="s">
        <v>14</v>
      </c>
      <c r="C969">
        <v>0</v>
      </c>
      <c r="D969">
        <v>0</v>
      </c>
      <c r="E969">
        <v>5</v>
      </c>
    </row>
    <row r="970" spans="1:5" x14ac:dyDescent="0.2">
      <c r="A970" t="s">
        <v>984</v>
      </c>
      <c r="B970" t="s">
        <v>6</v>
      </c>
      <c r="C970">
        <v>1</v>
      </c>
      <c r="D970">
        <v>1</v>
      </c>
      <c r="E970">
        <v>4</v>
      </c>
    </row>
    <row r="971" spans="1:5" x14ac:dyDescent="0.2">
      <c r="A971" t="s">
        <v>985</v>
      </c>
      <c r="B971" t="s">
        <v>10</v>
      </c>
      <c r="C971">
        <v>1</v>
      </c>
      <c r="D971">
        <v>0</v>
      </c>
      <c r="E971">
        <v>3</v>
      </c>
    </row>
    <row r="972" spans="1:5" x14ac:dyDescent="0.2">
      <c r="A972" t="s">
        <v>986</v>
      </c>
      <c r="B972" t="s">
        <v>12</v>
      </c>
      <c r="C972">
        <v>1</v>
      </c>
      <c r="D972">
        <v>1</v>
      </c>
      <c r="E972">
        <v>1</v>
      </c>
    </row>
    <row r="973" spans="1:5" x14ac:dyDescent="0.2">
      <c r="A973" t="s">
        <v>987</v>
      </c>
      <c r="B973" t="s">
        <v>8</v>
      </c>
      <c r="C973">
        <v>0</v>
      </c>
      <c r="D973">
        <v>0</v>
      </c>
      <c r="E973">
        <v>5</v>
      </c>
    </row>
    <row r="974" spans="1:5" x14ac:dyDescent="0.2">
      <c r="A974" t="s">
        <v>988</v>
      </c>
      <c r="B974" t="s">
        <v>21</v>
      </c>
      <c r="C974">
        <v>0</v>
      </c>
      <c r="D974">
        <v>0</v>
      </c>
      <c r="E974">
        <v>2</v>
      </c>
    </row>
    <row r="975" spans="1:5" x14ac:dyDescent="0.2">
      <c r="A975" t="s">
        <v>989</v>
      </c>
      <c r="B975" t="s">
        <v>6</v>
      </c>
      <c r="C975">
        <v>0</v>
      </c>
      <c r="D975">
        <v>0</v>
      </c>
      <c r="E975">
        <v>5</v>
      </c>
    </row>
    <row r="976" spans="1:5" x14ac:dyDescent="0.2">
      <c r="A976" t="s">
        <v>990</v>
      </c>
      <c r="B976" t="s">
        <v>8</v>
      </c>
      <c r="C976">
        <v>1</v>
      </c>
      <c r="D976">
        <v>1</v>
      </c>
      <c r="E976">
        <v>3</v>
      </c>
    </row>
    <row r="977" spans="1:5" x14ac:dyDescent="0.2">
      <c r="A977" t="s">
        <v>991</v>
      </c>
      <c r="B977" t="s">
        <v>16</v>
      </c>
      <c r="C977">
        <v>0</v>
      </c>
      <c r="D977">
        <v>1</v>
      </c>
      <c r="E977">
        <v>3</v>
      </c>
    </row>
    <row r="978" spans="1:5" x14ac:dyDescent="0.2">
      <c r="A978" t="s">
        <v>992</v>
      </c>
      <c r="B978" t="s">
        <v>10</v>
      </c>
      <c r="C978">
        <v>1</v>
      </c>
      <c r="D978">
        <v>0</v>
      </c>
      <c r="E978">
        <v>2</v>
      </c>
    </row>
    <row r="979" spans="1:5" x14ac:dyDescent="0.2">
      <c r="A979" t="s">
        <v>993</v>
      </c>
      <c r="B979" t="s">
        <v>12</v>
      </c>
      <c r="C979">
        <v>1</v>
      </c>
      <c r="D979">
        <v>1</v>
      </c>
      <c r="E979">
        <v>4</v>
      </c>
    </row>
    <row r="980" spans="1:5" x14ac:dyDescent="0.2">
      <c r="A980" t="s">
        <v>994</v>
      </c>
      <c r="B980" t="s">
        <v>16</v>
      </c>
      <c r="C980">
        <v>1</v>
      </c>
      <c r="D980">
        <v>0</v>
      </c>
      <c r="E980">
        <v>4</v>
      </c>
    </row>
    <row r="981" spans="1:5" x14ac:dyDescent="0.2">
      <c r="A981" t="s">
        <v>995</v>
      </c>
      <c r="B981" t="s">
        <v>16</v>
      </c>
      <c r="C981">
        <v>1</v>
      </c>
      <c r="D981">
        <v>1</v>
      </c>
      <c r="E981">
        <v>4</v>
      </c>
    </row>
    <row r="982" spans="1:5" x14ac:dyDescent="0.2">
      <c r="A982" t="s">
        <v>996</v>
      </c>
      <c r="B982" t="s">
        <v>16</v>
      </c>
      <c r="C982">
        <v>0</v>
      </c>
      <c r="D982">
        <v>0</v>
      </c>
      <c r="E982">
        <v>4</v>
      </c>
    </row>
    <row r="983" spans="1:5" x14ac:dyDescent="0.2">
      <c r="A983" t="s">
        <v>997</v>
      </c>
      <c r="B983" t="s">
        <v>36</v>
      </c>
      <c r="C983">
        <v>0</v>
      </c>
      <c r="D983">
        <v>0</v>
      </c>
      <c r="E983">
        <v>5</v>
      </c>
    </row>
    <row r="984" spans="1:5" x14ac:dyDescent="0.2">
      <c r="A984" t="s">
        <v>998</v>
      </c>
      <c r="B984" t="s">
        <v>38</v>
      </c>
      <c r="C984">
        <v>0</v>
      </c>
      <c r="D984">
        <v>0</v>
      </c>
      <c r="E984">
        <v>1</v>
      </c>
    </row>
    <row r="985" spans="1:5" x14ac:dyDescent="0.2">
      <c r="A985" t="s">
        <v>999</v>
      </c>
      <c r="B985" t="s">
        <v>6</v>
      </c>
      <c r="C985">
        <v>0</v>
      </c>
      <c r="D985">
        <v>1</v>
      </c>
      <c r="E985">
        <v>4</v>
      </c>
    </row>
    <row r="986" spans="1:5" x14ac:dyDescent="0.2">
      <c r="A986" t="s">
        <v>1000</v>
      </c>
      <c r="B986" t="s">
        <v>12</v>
      </c>
      <c r="C986">
        <v>0</v>
      </c>
      <c r="D986">
        <v>1</v>
      </c>
      <c r="E986">
        <v>5</v>
      </c>
    </row>
    <row r="987" spans="1:5" x14ac:dyDescent="0.2">
      <c r="A987" t="s">
        <v>1001</v>
      </c>
      <c r="B987" t="s">
        <v>36</v>
      </c>
      <c r="C987">
        <v>1</v>
      </c>
      <c r="D987">
        <v>1</v>
      </c>
      <c r="E987">
        <v>5</v>
      </c>
    </row>
    <row r="988" spans="1:5" x14ac:dyDescent="0.2">
      <c r="A988" t="s">
        <v>1002</v>
      </c>
      <c r="B988" t="s">
        <v>21</v>
      </c>
      <c r="C988">
        <v>1</v>
      </c>
      <c r="D988">
        <v>1</v>
      </c>
      <c r="E988">
        <v>2</v>
      </c>
    </row>
    <row r="989" spans="1:5" x14ac:dyDescent="0.2">
      <c r="A989" t="s">
        <v>1003</v>
      </c>
      <c r="B989" t="s">
        <v>21</v>
      </c>
      <c r="C989">
        <v>0</v>
      </c>
      <c r="D989">
        <v>1</v>
      </c>
      <c r="E989">
        <v>2</v>
      </c>
    </row>
    <row r="990" spans="1:5" x14ac:dyDescent="0.2">
      <c r="A990" t="s">
        <v>1004</v>
      </c>
      <c r="B990" t="s">
        <v>10</v>
      </c>
      <c r="C990">
        <v>0</v>
      </c>
      <c r="D990">
        <v>1</v>
      </c>
      <c r="E990">
        <v>4</v>
      </c>
    </row>
    <row r="991" spans="1:5" x14ac:dyDescent="0.2">
      <c r="A991" t="s">
        <v>1005</v>
      </c>
      <c r="B991" t="s">
        <v>6</v>
      </c>
      <c r="C991">
        <v>0</v>
      </c>
      <c r="D991">
        <v>0</v>
      </c>
      <c r="E991">
        <v>1</v>
      </c>
    </row>
    <row r="992" spans="1:5" x14ac:dyDescent="0.2">
      <c r="A992" t="s">
        <v>1006</v>
      </c>
      <c r="B992" t="s">
        <v>8</v>
      </c>
      <c r="C992">
        <v>1</v>
      </c>
      <c r="D992">
        <v>1</v>
      </c>
      <c r="E992">
        <v>2</v>
      </c>
    </row>
    <row r="993" spans="1:5" x14ac:dyDescent="0.2">
      <c r="A993" t="s">
        <v>1007</v>
      </c>
      <c r="B993" t="s">
        <v>8</v>
      </c>
      <c r="C993">
        <v>0</v>
      </c>
      <c r="D993">
        <v>0</v>
      </c>
      <c r="E993">
        <v>5</v>
      </c>
    </row>
    <row r="994" spans="1:5" x14ac:dyDescent="0.2">
      <c r="A994" t="s">
        <v>1008</v>
      </c>
      <c r="B994" t="s">
        <v>16</v>
      </c>
      <c r="C994">
        <v>0</v>
      </c>
      <c r="D994">
        <v>0</v>
      </c>
      <c r="E994">
        <v>2</v>
      </c>
    </row>
    <row r="995" spans="1:5" x14ac:dyDescent="0.2">
      <c r="A995" t="s">
        <v>1009</v>
      </c>
      <c r="B995" t="s">
        <v>36</v>
      </c>
      <c r="C995">
        <v>1</v>
      </c>
      <c r="D995">
        <v>1</v>
      </c>
      <c r="E995">
        <v>3</v>
      </c>
    </row>
    <row r="996" spans="1:5" x14ac:dyDescent="0.2">
      <c r="A996" t="s">
        <v>1010</v>
      </c>
      <c r="B996" t="s">
        <v>8</v>
      </c>
      <c r="C996">
        <v>1</v>
      </c>
      <c r="D996">
        <v>1</v>
      </c>
      <c r="E996">
        <v>4</v>
      </c>
    </row>
    <row r="997" spans="1:5" x14ac:dyDescent="0.2">
      <c r="A997" t="s">
        <v>1011</v>
      </c>
      <c r="B997" t="s">
        <v>8</v>
      </c>
      <c r="C997">
        <v>0</v>
      </c>
      <c r="D997">
        <v>0</v>
      </c>
      <c r="E997">
        <v>2</v>
      </c>
    </row>
    <row r="998" spans="1:5" x14ac:dyDescent="0.2">
      <c r="A998" t="s">
        <v>1012</v>
      </c>
      <c r="B998" t="s">
        <v>14</v>
      </c>
      <c r="C998">
        <v>1</v>
      </c>
      <c r="D998">
        <v>0</v>
      </c>
      <c r="E998">
        <v>4</v>
      </c>
    </row>
    <row r="999" spans="1:5" x14ac:dyDescent="0.2">
      <c r="A999" t="s">
        <v>1013</v>
      </c>
      <c r="B999" t="s">
        <v>14</v>
      </c>
      <c r="C999">
        <v>1</v>
      </c>
      <c r="D999">
        <v>1</v>
      </c>
      <c r="E999">
        <v>2</v>
      </c>
    </row>
    <row r="1000" spans="1:5" x14ac:dyDescent="0.2">
      <c r="A1000" t="s">
        <v>1014</v>
      </c>
      <c r="B1000" t="s">
        <v>125</v>
      </c>
      <c r="C1000">
        <v>1</v>
      </c>
      <c r="D1000">
        <v>0</v>
      </c>
      <c r="E1000">
        <v>1</v>
      </c>
    </row>
    <row r="1001" spans="1:5" x14ac:dyDescent="0.2">
      <c r="A1001" t="s">
        <v>1015</v>
      </c>
      <c r="B1001" t="s">
        <v>6</v>
      </c>
      <c r="C1001">
        <v>0</v>
      </c>
      <c r="D1001">
        <v>0</v>
      </c>
      <c r="E1001">
        <v>2</v>
      </c>
    </row>
  </sheetData>
  <mergeCells count="24">
    <mergeCell ref="I71:K71"/>
    <mergeCell ref="O71:P71"/>
    <mergeCell ref="I87:K87"/>
    <mergeCell ref="N87:T87"/>
    <mergeCell ref="I88:K88"/>
    <mergeCell ref="O88:P88"/>
    <mergeCell ref="I53:K53"/>
    <mergeCell ref="N53:T53"/>
    <mergeCell ref="I54:K54"/>
    <mergeCell ref="O54:P54"/>
    <mergeCell ref="I70:K70"/>
    <mergeCell ref="N70:T70"/>
    <mergeCell ref="I20:K20"/>
    <mergeCell ref="O20:P20"/>
    <mergeCell ref="I36:K36"/>
    <mergeCell ref="N36:T36"/>
    <mergeCell ref="I37:K37"/>
    <mergeCell ref="O37:P37"/>
    <mergeCell ref="I1:K1"/>
    <mergeCell ref="N1:T1"/>
    <mergeCell ref="I2:K2"/>
    <mergeCell ref="O2:P2"/>
    <mergeCell ref="I19:K19"/>
    <mergeCell ref="N19:T19"/>
  </mergeCells>
  <conditionalFormatting sqref="S5:T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T3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T4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T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T8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T1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predictions1_finetuned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2023-11-21T17:26:42Z</dcterms:created>
  <dcterms:modified xsi:type="dcterms:W3CDTF">2023-11-21T17:30:52Z</dcterms:modified>
</cp:coreProperties>
</file>