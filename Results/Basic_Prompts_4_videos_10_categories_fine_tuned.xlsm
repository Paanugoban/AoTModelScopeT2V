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aank/Documents/diffusion/RaMViD/diffusion_openai/Final Statistics/"/>
    </mc:Choice>
  </mc:AlternateContent>
  <xr:revisionPtr revIDLastSave="0" documentId="13_ncr:40009_{C8B34C8E-F073-9D4A-8332-1F161BB57E37}" xr6:coauthVersionLast="47" xr6:coauthVersionMax="47" xr10:uidLastSave="{00000000-0000-0000-0000-000000000000}"/>
  <bookViews>
    <workbookView xWindow="0" yWindow="760" windowWidth="30240" windowHeight="17780"/>
  </bookViews>
  <sheets>
    <sheet name="predictions_finetuned" sheetId="1" r:id="rId1"/>
  </sheets>
  <calcPr calcId="0"/>
</workbook>
</file>

<file path=xl/calcChain.xml><?xml version="1.0" encoding="utf-8"?>
<calcChain xmlns="http://schemas.openxmlformats.org/spreadsheetml/2006/main">
  <c r="O7" i="1" l="1"/>
  <c r="S7" i="1" s="1"/>
  <c r="P7" i="1"/>
  <c r="Q7" i="1"/>
  <c r="T7" i="1" s="1"/>
  <c r="R7" i="1"/>
  <c r="O8" i="1"/>
  <c r="S8" i="1" s="1"/>
  <c r="P8" i="1"/>
  <c r="Q8" i="1"/>
  <c r="T8" i="1" s="1"/>
  <c r="R8" i="1"/>
  <c r="O9" i="1"/>
  <c r="S9" i="1" s="1"/>
  <c r="P9" i="1"/>
  <c r="Q9" i="1"/>
  <c r="R9" i="1"/>
  <c r="T9" i="1"/>
  <c r="O10" i="1"/>
  <c r="S10" i="1" s="1"/>
  <c r="P10" i="1"/>
  <c r="Q10" i="1"/>
  <c r="T10" i="1" s="1"/>
  <c r="R10" i="1"/>
  <c r="O11" i="1"/>
  <c r="P11" i="1"/>
  <c r="Q11" i="1"/>
  <c r="R11" i="1"/>
  <c r="S11" i="1"/>
  <c r="T11" i="1"/>
  <c r="O12" i="1"/>
  <c r="S12" i="1" s="1"/>
  <c r="P12" i="1"/>
  <c r="Q12" i="1"/>
  <c r="T12" i="1" s="1"/>
  <c r="R12" i="1"/>
  <c r="O13" i="1"/>
  <c r="S13" i="1" s="1"/>
  <c r="P13" i="1"/>
  <c r="Q13" i="1"/>
  <c r="T13" i="1" s="1"/>
  <c r="R13" i="1"/>
  <c r="O14" i="1"/>
  <c r="P14" i="1"/>
  <c r="Q14" i="1"/>
  <c r="R14" i="1"/>
  <c r="S14" i="1"/>
  <c r="T14" i="1"/>
  <c r="O15" i="1"/>
  <c r="S15" i="1" s="1"/>
  <c r="P15" i="1"/>
  <c r="Q15" i="1"/>
  <c r="T15" i="1" s="1"/>
  <c r="R15" i="1"/>
  <c r="O16" i="1"/>
  <c r="P16" i="1"/>
  <c r="Q16" i="1"/>
  <c r="R16" i="1"/>
  <c r="S16" i="1"/>
  <c r="T16" i="1"/>
  <c r="O17" i="1"/>
  <c r="S17" i="1" s="1"/>
  <c r="P17" i="1"/>
  <c r="Q17" i="1"/>
  <c r="T17" i="1" s="1"/>
  <c r="R17" i="1"/>
  <c r="O18" i="1"/>
  <c r="S18" i="1" s="1"/>
  <c r="P18" i="1"/>
  <c r="Q18" i="1"/>
  <c r="T18" i="1" s="1"/>
  <c r="R18" i="1"/>
  <c r="O19" i="1"/>
  <c r="P19" i="1"/>
  <c r="Q19" i="1"/>
  <c r="R19" i="1"/>
  <c r="S19" i="1"/>
  <c r="T19" i="1"/>
  <c r="O20" i="1"/>
  <c r="S20" i="1" s="1"/>
  <c r="P20" i="1"/>
  <c r="Q20" i="1"/>
  <c r="T20" i="1" s="1"/>
  <c r="R20" i="1"/>
  <c r="O21" i="1"/>
  <c r="P21" i="1"/>
  <c r="Q21" i="1"/>
  <c r="R21" i="1"/>
  <c r="S21" i="1"/>
  <c r="T21" i="1"/>
  <c r="O22" i="1"/>
  <c r="S22" i="1" s="1"/>
  <c r="P22" i="1"/>
  <c r="Q22" i="1"/>
  <c r="T22" i="1" s="1"/>
  <c r="R22" i="1"/>
  <c r="O23" i="1"/>
  <c r="S23" i="1" s="1"/>
  <c r="P23" i="1"/>
  <c r="Q23" i="1"/>
  <c r="T23" i="1" s="1"/>
  <c r="R23" i="1"/>
  <c r="O24" i="1"/>
  <c r="P24" i="1"/>
  <c r="Q24" i="1"/>
  <c r="R24" i="1"/>
  <c r="S24" i="1"/>
  <c r="T24" i="1"/>
  <c r="O25" i="1"/>
  <c r="S25" i="1" s="1"/>
  <c r="P25" i="1"/>
  <c r="Q25" i="1"/>
  <c r="T25" i="1" s="1"/>
  <c r="R25" i="1"/>
  <c r="O26" i="1"/>
  <c r="P26" i="1"/>
  <c r="Q26" i="1"/>
  <c r="R26" i="1"/>
  <c r="S26" i="1"/>
  <c r="T26" i="1"/>
  <c r="O27" i="1"/>
  <c r="S27" i="1" s="1"/>
  <c r="P27" i="1"/>
  <c r="Q27" i="1"/>
  <c r="T27" i="1" s="1"/>
  <c r="R27" i="1"/>
  <c r="O28" i="1"/>
  <c r="S28" i="1" s="1"/>
  <c r="P28" i="1"/>
  <c r="Q28" i="1"/>
  <c r="T28" i="1" s="1"/>
  <c r="R28" i="1"/>
  <c r="O29" i="1"/>
  <c r="P29" i="1"/>
  <c r="Q29" i="1"/>
  <c r="R29" i="1"/>
  <c r="S29" i="1"/>
  <c r="T29" i="1"/>
  <c r="O30" i="1"/>
  <c r="S30" i="1" s="1"/>
  <c r="P30" i="1"/>
  <c r="Q30" i="1"/>
  <c r="T30" i="1" s="1"/>
  <c r="R30" i="1"/>
  <c r="O31" i="1"/>
  <c r="P31" i="1"/>
  <c r="Q31" i="1"/>
  <c r="R31" i="1"/>
  <c r="S31" i="1"/>
  <c r="T31" i="1"/>
  <c r="O32" i="1"/>
  <c r="P32" i="1"/>
  <c r="Q32" i="1"/>
  <c r="T32" i="1" s="1"/>
  <c r="R32" i="1"/>
  <c r="S32" i="1"/>
  <c r="O33" i="1"/>
  <c r="S33" i="1" s="1"/>
  <c r="P33" i="1"/>
  <c r="Q33" i="1"/>
  <c r="T33" i="1" s="1"/>
  <c r="R33" i="1"/>
  <c r="O34" i="1"/>
  <c r="P34" i="1"/>
  <c r="Q34" i="1"/>
  <c r="R34" i="1"/>
  <c r="S34" i="1"/>
  <c r="T34" i="1"/>
  <c r="O35" i="1"/>
  <c r="S35" i="1" s="1"/>
  <c r="P35" i="1"/>
  <c r="Q35" i="1"/>
  <c r="T35" i="1" s="1"/>
  <c r="R35" i="1"/>
  <c r="O36" i="1"/>
  <c r="P36" i="1"/>
  <c r="Q36" i="1"/>
  <c r="R36" i="1"/>
  <c r="S36" i="1"/>
  <c r="T36" i="1"/>
  <c r="O37" i="1"/>
  <c r="P37" i="1"/>
  <c r="Q37" i="1"/>
  <c r="T37" i="1" s="1"/>
  <c r="R37" i="1"/>
  <c r="S37" i="1"/>
  <c r="O38" i="1"/>
  <c r="S38" i="1" s="1"/>
  <c r="P38" i="1"/>
  <c r="Q38" i="1"/>
  <c r="T38" i="1" s="1"/>
  <c r="R38" i="1"/>
  <c r="O39" i="1"/>
  <c r="P39" i="1"/>
  <c r="Q39" i="1"/>
  <c r="R39" i="1"/>
  <c r="S39" i="1"/>
  <c r="T39" i="1"/>
  <c r="O40" i="1"/>
  <c r="S40" i="1" s="1"/>
  <c r="P40" i="1"/>
  <c r="Q40" i="1"/>
  <c r="T40" i="1" s="1"/>
  <c r="R40" i="1"/>
  <c r="O41" i="1"/>
  <c r="P41" i="1"/>
  <c r="Q41" i="1"/>
  <c r="R41" i="1"/>
  <c r="S41" i="1"/>
  <c r="T41" i="1"/>
  <c r="O42" i="1"/>
  <c r="P42" i="1"/>
  <c r="Q42" i="1"/>
  <c r="T42" i="1" s="1"/>
  <c r="R42" i="1"/>
  <c r="S42" i="1"/>
  <c r="O43" i="1"/>
  <c r="S43" i="1" s="1"/>
  <c r="P43" i="1"/>
  <c r="Q43" i="1"/>
  <c r="T43" i="1" s="1"/>
  <c r="R43" i="1"/>
  <c r="O44" i="1"/>
  <c r="P44" i="1"/>
  <c r="Q44" i="1"/>
  <c r="R44" i="1"/>
  <c r="S44" i="1"/>
  <c r="T44" i="1"/>
  <c r="O45" i="1"/>
  <c r="S45" i="1" s="1"/>
  <c r="P45" i="1"/>
  <c r="Q45" i="1"/>
  <c r="T45" i="1" s="1"/>
  <c r="R45" i="1"/>
  <c r="O46" i="1"/>
  <c r="P46" i="1"/>
  <c r="Q46" i="1"/>
  <c r="R46" i="1"/>
  <c r="S46" i="1"/>
  <c r="T46" i="1"/>
  <c r="O47" i="1"/>
  <c r="P47" i="1"/>
  <c r="Q47" i="1"/>
  <c r="T47" i="1" s="1"/>
  <c r="R47" i="1"/>
  <c r="S47" i="1"/>
  <c r="O48" i="1"/>
  <c r="S48" i="1" s="1"/>
  <c r="P48" i="1"/>
  <c r="Q48" i="1"/>
  <c r="T48" i="1" s="1"/>
  <c r="R48" i="1"/>
  <c r="O49" i="1"/>
  <c r="P49" i="1"/>
  <c r="Q49" i="1"/>
  <c r="R49" i="1"/>
  <c r="S49" i="1"/>
  <c r="T49" i="1"/>
  <c r="O50" i="1"/>
  <c r="S50" i="1" s="1"/>
  <c r="P50" i="1"/>
  <c r="Q50" i="1"/>
  <c r="T50" i="1" s="1"/>
  <c r="R50" i="1"/>
  <c r="O51" i="1"/>
  <c r="P51" i="1"/>
  <c r="Q51" i="1"/>
  <c r="R51" i="1"/>
  <c r="S51" i="1"/>
  <c r="T51" i="1"/>
  <c r="O52" i="1"/>
  <c r="P52" i="1"/>
  <c r="Q52" i="1"/>
  <c r="T52" i="1" s="1"/>
  <c r="R52" i="1"/>
  <c r="S52" i="1"/>
  <c r="O53" i="1"/>
  <c r="S53" i="1" s="1"/>
  <c r="P53" i="1"/>
  <c r="Q53" i="1"/>
  <c r="T53" i="1" s="1"/>
  <c r="R53" i="1"/>
  <c r="O54" i="1"/>
  <c r="P54" i="1"/>
  <c r="Q54" i="1"/>
  <c r="R54" i="1"/>
  <c r="S54" i="1"/>
  <c r="T54" i="1"/>
  <c r="O55" i="1"/>
  <c r="S55" i="1" s="1"/>
  <c r="P55" i="1"/>
  <c r="Q55" i="1"/>
  <c r="T55" i="1" s="1"/>
  <c r="R55" i="1"/>
  <c r="O56" i="1"/>
  <c r="P56" i="1"/>
  <c r="Q56" i="1"/>
  <c r="R56" i="1"/>
  <c r="S56" i="1"/>
  <c r="T56" i="1"/>
  <c r="O57" i="1"/>
  <c r="P57" i="1"/>
  <c r="Q57" i="1"/>
  <c r="T57" i="1" s="1"/>
  <c r="R57" i="1"/>
  <c r="S57" i="1"/>
  <c r="O58" i="1"/>
  <c r="S58" i="1" s="1"/>
  <c r="P58" i="1"/>
  <c r="Q58" i="1"/>
  <c r="T58" i="1" s="1"/>
  <c r="R58" i="1"/>
  <c r="O59" i="1"/>
  <c r="P59" i="1"/>
  <c r="Q59" i="1"/>
  <c r="R59" i="1"/>
  <c r="S59" i="1"/>
  <c r="T59" i="1"/>
  <c r="O60" i="1"/>
  <c r="S60" i="1" s="1"/>
  <c r="P60" i="1"/>
  <c r="Q60" i="1"/>
  <c r="T60" i="1" s="1"/>
  <c r="R60" i="1"/>
  <c r="O61" i="1"/>
  <c r="P61" i="1"/>
  <c r="Q61" i="1"/>
  <c r="R61" i="1"/>
  <c r="S61" i="1"/>
  <c r="T61" i="1"/>
  <c r="O62" i="1"/>
  <c r="P62" i="1"/>
  <c r="Q62" i="1"/>
  <c r="T62" i="1" s="1"/>
  <c r="R62" i="1"/>
  <c r="S62" i="1"/>
  <c r="O63" i="1"/>
  <c r="S63" i="1" s="1"/>
  <c r="P63" i="1"/>
  <c r="Q63" i="1"/>
  <c r="T63" i="1" s="1"/>
  <c r="R63" i="1"/>
  <c r="O64" i="1"/>
  <c r="P64" i="1"/>
  <c r="Q64" i="1"/>
  <c r="R64" i="1"/>
  <c r="S64" i="1"/>
  <c r="T64" i="1"/>
  <c r="O65" i="1"/>
  <c r="S65" i="1" s="1"/>
  <c r="P65" i="1"/>
  <c r="Q65" i="1"/>
  <c r="T65" i="1" s="1"/>
  <c r="R65" i="1"/>
  <c r="O66" i="1"/>
  <c r="P66" i="1"/>
  <c r="Q66" i="1"/>
  <c r="R66" i="1"/>
  <c r="S66" i="1"/>
  <c r="T66" i="1"/>
  <c r="O67" i="1"/>
  <c r="P67" i="1"/>
  <c r="Q67" i="1"/>
  <c r="T67" i="1" s="1"/>
  <c r="R67" i="1"/>
  <c r="S67" i="1"/>
  <c r="O68" i="1"/>
  <c r="S68" i="1" s="1"/>
  <c r="P68" i="1"/>
  <c r="Q68" i="1"/>
  <c r="T68" i="1" s="1"/>
  <c r="R68" i="1"/>
  <c r="O69" i="1"/>
  <c r="S69" i="1" s="1"/>
  <c r="P69" i="1"/>
  <c r="Q69" i="1"/>
  <c r="R69" i="1"/>
  <c r="T69" i="1"/>
  <c r="O70" i="1"/>
  <c r="S70" i="1" s="1"/>
  <c r="P70" i="1"/>
  <c r="Q70" i="1"/>
  <c r="T70" i="1" s="1"/>
  <c r="R70" i="1"/>
  <c r="O71" i="1"/>
  <c r="P71" i="1"/>
  <c r="Q71" i="1"/>
  <c r="R71" i="1"/>
  <c r="S71" i="1"/>
  <c r="T71" i="1"/>
  <c r="O72" i="1"/>
  <c r="P72" i="1"/>
  <c r="Q72" i="1"/>
  <c r="T72" i="1" s="1"/>
  <c r="R72" i="1"/>
  <c r="S72" i="1"/>
  <c r="O73" i="1"/>
  <c r="S73" i="1" s="1"/>
  <c r="P73" i="1"/>
  <c r="Q73" i="1"/>
  <c r="T73" i="1" s="1"/>
  <c r="R73" i="1"/>
  <c r="O74" i="1"/>
  <c r="S74" i="1" s="1"/>
  <c r="P74" i="1"/>
  <c r="Q74" i="1"/>
  <c r="R74" i="1"/>
  <c r="T74" i="1"/>
  <c r="O75" i="1"/>
  <c r="S75" i="1" s="1"/>
  <c r="P75" i="1"/>
  <c r="Q75" i="1"/>
  <c r="T75" i="1" s="1"/>
  <c r="R75" i="1"/>
  <c r="O76" i="1"/>
  <c r="P76" i="1"/>
  <c r="Q76" i="1"/>
  <c r="R76" i="1"/>
  <c r="S76" i="1"/>
  <c r="T76" i="1"/>
  <c r="O77" i="1"/>
  <c r="P77" i="1"/>
  <c r="Q77" i="1"/>
  <c r="T77" i="1" s="1"/>
  <c r="R77" i="1"/>
  <c r="S77" i="1"/>
  <c r="O78" i="1"/>
  <c r="S78" i="1" s="1"/>
  <c r="P78" i="1"/>
  <c r="Q78" i="1"/>
  <c r="T78" i="1" s="1"/>
  <c r="R78" i="1"/>
  <c r="O79" i="1"/>
  <c r="S79" i="1" s="1"/>
  <c r="P79" i="1"/>
  <c r="Q79" i="1"/>
  <c r="R79" i="1"/>
  <c r="T79" i="1"/>
  <c r="O80" i="1"/>
  <c r="S80" i="1" s="1"/>
  <c r="P80" i="1"/>
  <c r="Q80" i="1"/>
  <c r="T80" i="1" s="1"/>
  <c r="R80" i="1"/>
  <c r="O81" i="1"/>
  <c r="P81" i="1"/>
  <c r="Q81" i="1"/>
  <c r="R81" i="1"/>
  <c r="S81" i="1"/>
  <c r="T81" i="1"/>
  <c r="O82" i="1"/>
  <c r="P82" i="1"/>
  <c r="Q82" i="1"/>
  <c r="T82" i="1" s="1"/>
  <c r="R82" i="1"/>
  <c r="S82" i="1"/>
  <c r="O83" i="1"/>
  <c r="S83" i="1" s="1"/>
  <c r="P83" i="1"/>
  <c r="Q83" i="1"/>
  <c r="T83" i="1" s="1"/>
  <c r="R83" i="1"/>
  <c r="O84" i="1"/>
  <c r="S84" i="1" s="1"/>
  <c r="P84" i="1"/>
  <c r="Q84" i="1"/>
  <c r="R84" i="1"/>
  <c r="T84" i="1"/>
  <c r="O85" i="1"/>
  <c r="S85" i="1" s="1"/>
  <c r="P85" i="1"/>
  <c r="Q85" i="1"/>
  <c r="T85" i="1" s="1"/>
  <c r="R85" i="1"/>
  <c r="O86" i="1"/>
  <c r="P86" i="1"/>
  <c r="Q86" i="1"/>
  <c r="R86" i="1"/>
  <c r="S86" i="1"/>
  <c r="T86" i="1"/>
  <c r="O87" i="1"/>
  <c r="P87" i="1"/>
  <c r="Q87" i="1"/>
  <c r="T87" i="1" s="1"/>
  <c r="R87" i="1"/>
  <c r="S87" i="1"/>
  <c r="O88" i="1"/>
  <c r="S88" i="1" s="1"/>
  <c r="P88" i="1"/>
  <c r="Q88" i="1"/>
  <c r="T88" i="1" s="1"/>
  <c r="R88" i="1"/>
  <c r="O89" i="1"/>
  <c r="S89" i="1" s="1"/>
  <c r="P89" i="1"/>
  <c r="Q89" i="1"/>
  <c r="R89" i="1"/>
  <c r="T89" i="1"/>
  <c r="O90" i="1"/>
  <c r="S90" i="1" s="1"/>
  <c r="P90" i="1"/>
  <c r="Q90" i="1"/>
  <c r="T90" i="1" s="1"/>
  <c r="R90" i="1"/>
  <c r="O91" i="1"/>
  <c r="P91" i="1"/>
  <c r="Q91" i="1"/>
  <c r="R91" i="1"/>
  <c r="S91" i="1"/>
  <c r="T91" i="1"/>
  <c r="O92" i="1"/>
  <c r="P92" i="1"/>
  <c r="Q92" i="1"/>
  <c r="T92" i="1" s="1"/>
  <c r="R92" i="1"/>
  <c r="S92" i="1"/>
  <c r="O93" i="1"/>
  <c r="S93" i="1" s="1"/>
  <c r="P93" i="1"/>
  <c r="Q93" i="1"/>
  <c r="T93" i="1" s="1"/>
  <c r="R93" i="1"/>
  <c r="O94" i="1"/>
  <c r="S94" i="1" s="1"/>
  <c r="P94" i="1"/>
  <c r="Q94" i="1"/>
  <c r="R94" i="1"/>
  <c r="T94" i="1"/>
  <c r="O95" i="1"/>
  <c r="S95" i="1" s="1"/>
  <c r="P95" i="1"/>
  <c r="Q95" i="1"/>
  <c r="T95" i="1" s="1"/>
  <c r="R95" i="1"/>
  <c r="O96" i="1"/>
  <c r="P96" i="1"/>
  <c r="Q96" i="1"/>
  <c r="R96" i="1"/>
  <c r="S96" i="1"/>
  <c r="T96" i="1"/>
  <c r="O97" i="1"/>
  <c r="P97" i="1"/>
  <c r="Q97" i="1"/>
  <c r="T97" i="1" s="1"/>
  <c r="R97" i="1"/>
  <c r="S97" i="1"/>
  <c r="O98" i="1"/>
  <c r="S98" i="1" s="1"/>
  <c r="P98" i="1"/>
  <c r="Q98" i="1"/>
  <c r="T98" i="1" s="1"/>
  <c r="R98" i="1"/>
  <c r="O99" i="1"/>
  <c r="S99" i="1" s="1"/>
  <c r="P99" i="1"/>
  <c r="Q99" i="1"/>
  <c r="R99" i="1"/>
  <c r="T99" i="1"/>
  <c r="O100" i="1"/>
  <c r="S100" i="1" s="1"/>
  <c r="P100" i="1"/>
  <c r="T100" i="1" s="1"/>
  <c r="Q100" i="1"/>
  <c r="R100" i="1"/>
  <c r="O101" i="1"/>
  <c r="P101" i="1"/>
  <c r="Q101" i="1"/>
  <c r="R101" i="1"/>
  <c r="S101" i="1"/>
  <c r="T101" i="1"/>
  <c r="J6" i="1"/>
  <c r="I15" i="1" s="1"/>
  <c r="I6" i="1"/>
  <c r="I8" i="1" s="1"/>
  <c r="N5" i="1" a="1"/>
  <c r="J5" i="1"/>
  <c r="I5" i="1"/>
  <c r="I12" i="1" s="1"/>
  <c r="N5" i="1" l="1"/>
  <c r="O6" i="1"/>
  <c r="P6" i="1"/>
  <c r="I11" i="1"/>
  <c r="I13" i="1" s="1"/>
  <c r="R6" i="1"/>
  <c r="Q6" i="1"/>
  <c r="I16" i="1"/>
  <c r="I17" i="1" s="1"/>
  <c r="I9" i="1"/>
  <c r="T6" i="1" l="1"/>
  <c r="S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<sst xmlns="http://schemas.openxmlformats.org/spreadsheetml/2006/main" count="800" uniqueCount="507">
  <si>
    <t>Video Title</t>
  </si>
  <si>
    <t>Category</t>
  </si>
  <si>
    <t>Actual Label</t>
  </si>
  <si>
    <t>Predicted Label</t>
  </si>
  <si>
    <t>band_marching_seed_4</t>
  </si>
  <si>
    <t>BandMarching</t>
  </si>
  <si>
    <t>pushups_in_reverse_seed_68</t>
  </si>
  <si>
    <t>PushUps</t>
  </si>
  <si>
    <t>soccer_player_doing_keeups_forward_seed_79</t>
  </si>
  <si>
    <t>SoccerJuggling</t>
  </si>
  <si>
    <t>person_juggling_seed_43</t>
  </si>
  <si>
    <t>JugglingBalls</t>
  </si>
  <si>
    <t>frisbee_catch_forward_seed_29</t>
  </si>
  <si>
    <t>FrisbeeCatch</t>
  </si>
  <si>
    <t>man_playing_yoyo_seed_95</t>
  </si>
  <si>
    <t>YoYo</t>
  </si>
  <si>
    <t>moving_speed_bag_forward_seed_16</t>
  </si>
  <si>
    <t>BoxingSpeedBag</t>
  </si>
  <si>
    <t>person_throwing_bowling_ball_at_pins_at_reverse_seed_14</t>
  </si>
  <si>
    <t>Bowling</t>
  </si>
  <si>
    <t>person_rock_climbing_up_forward_seed_70</t>
  </si>
  <si>
    <t>RockClimbingIndoor</t>
  </si>
  <si>
    <t>high_jump_forward_seed_37</t>
  </si>
  <si>
    <t>HighJump</t>
  </si>
  <si>
    <t>body_weight_squat_seed_13</t>
  </si>
  <si>
    <t>BodyWeightSquats</t>
  </si>
  <si>
    <t>shooting_basketball_forward_seed_6</t>
  </si>
  <si>
    <t>Basketball</t>
  </si>
  <si>
    <t>reverse_person_swinging_golf_club_seed_31</t>
  </si>
  <si>
    <t>GolfSwing</t>
  </si>
  <si>
    <t>reverse_playing_violin_seed_63</t>
  </si>
  <si>
    <t>PlayingViolin</t>
  </si>
  <si>
    <t>person_swinging_golf_club_in_reverse_seed_31</t>
  </si>
  <si>
    <t>person_pitching_cricket_ball_in_game_in_reverse_seed_21</t>
  </si>
  <si>
    <t>CricketBowling</t>
  </si>
  <si>
    <t>rowing_forward_seed_72</t>
  </si>
  <si>
    <t>Rowing</t>
  </si>
  <si>
    <t>reverse_head_massage_seed_36</t>
  </si>
  <si>
    <t>HeadMassage</t>
  </si>
  <si>
    <t>applying_lipstick_seed_0</t>
  </si>
  <si>
    <t>AppleLipstick</t>
  </si>
  <si>
    <t>volley_ball_spiking_in_reverse_seed_91</t>
  </si>
  <si>
    <t>VolleyballSpiking</t>
  </si>
  <si>
    <t>skydivin_in_reverse_seed_78</t>
  </si>
  <si>
    <t>SkyDiving</t>
  </si>
  <si>
    <t>haircut_in_reverse_seed_32</t>
  </si>
  <si>
    <t>Haircut</t>
  </si>
  <si>
    <t>reverse_rowing_boat_seed_72</t>
  </si>
  <si>
    <t>bench_press_in_reverse_seed_8</t>
  </si>
  <si>
    <t>BenchPress</t>
  </si>
  <si>
    <t>reverse_surfing_seed_82</t>
  </si>
  <si>
    <t>Surfing</t>
  </si>
  <si>
    <t>reverse_pushups_seed_68</t>
  </si>
  <si>
    <t>athlete_throwing_shotput_seed_74</t>
  </si>
  <si>
    <t>Shotput</t>
  </si>
  <si>
    <t>reverse_cliff_diving</t>
  </si>
  <si>
    <t>CliffDiving</t>
  </si>
  <si>
    <t>person_playing_daf_drums_in_reverse_seed_57</t>
  </si>
  <si>
    <t>PlayingDaf</t>
  </si>
  <si>
    <t>playing_violin_in_reverse_seed_63</t>
  </si>
  <si>
    <t>reverse_person_rock_climbing_seed_70</t>
  </si>
  <si>
    <t>person_doing_jumping_jacks_in_reverse_seed_44</t>
  </si>
  <si>
    <t>JumpingJack</t>
  </si>
  <si>
    <t>billiards_in_reverse_seed_10</t>
  </si>
  <si>
    <t>Billiards</t>
  </si>
  <si>
    <t>reverse_skydiving_seed_78</t>
  </si>
  <si>
    <t>reverse_ice_dancing_seed_41</t>
  </si>
  <si>
    <t>IceDancing</t>
  </si>
  <si>
    <t>throw_discus_in_reverse_seed_87</t>
  </si>
  <si>
    <t>ThrowDiscuss</t>
  </si>
  <si>
    <t>reverse_billiards_seed_10</t>
  </si>
  <si>
    <t>playing_table_tennis_seed_84</t>
  </si>
  <si>
    <t>TableTennisShot</t>
  </si>
  <si>
    <t>skateboarding_forward_seed_75</t>
  </si>
  <si>
    <t>SkateBoarding</t>
  </si>
  <si>
    <t>athlete_long_jumping_in_reverse_seed_48</t>
  </si>
  <si>
    <t>LongJump</t>
  </si>
  <si>
    <t>reverse_field_hockey_penalty_seed_27</t>
  </si>
  <si>
    <t>FieldHockeyPenalty</t>
  </si>
  <si>
    <t>cello_being_played_seed_56</t>
  </si>
  <si>
    <t>PlayingCello</t>
  </si>
  <si>
    <t>swimming_breast_stroke_seed_17</t>
  </si>
  <si>
    <t>BreastStroke</t>
  </si>
  <si>
    <t>person_hammering_seed_33</t>
  </si>
  <si>
    <t>Hammering</t>
  </si>
  <si>
    <t>athlete_performing_gymnastics_in_reverse_seed_28</t>
  </si>
  <si>
    <t>FloorGymnastics</t>
  </si>
  <si>
    <t>person_playing_daf_drums_forward_seed_57</t>
  </si>
  <si>
    <t>baseball_being_thrown_in_reverse_seed_5</t>
  </si>
  <si>
    <t>BaseballPitch</t>
  </si>
  <si>
    <t>rowing_in_reverse_seed_72</t>
  </si>
  <si>
    <t>reverse_band_marching_seed_4</t>
  </si>
  <si>
    <t>person_rock_climbing_in_reverse_seed_70</t>
  </si>
  <si>
    <t>jumping_rope_forward_seed_45</t>
  </si>
  <si>
    <t>JumpRope</t>
  </si>
  <si>
    <t>drumming_seed_25</t>
  </si>
  <si>
    <t>Drumming</t>
  </si>
  <si>
    <t>person_long_jumping_seed_48</t>
  </si>
  <si>
    <t>reverse_two_people_fencing_battle_seed_26</t>
  </si>
  <si>
    <t>Fencing</t>
  </si>
  <si>
    <t>person_hammering_in_reverse_seed_33</t>
  </si>
  <si>
    <t>playing_violin_forward_seed_63</t>
  </si>
  <si>
    <t>athlete_doing_lunges_forward_seed_49</t>
  </si>
  <si>
    <t>Lunges</t>
  </si>
  <si>
    <t>person_on_swing_forward_seed_83</t>
  </si>
  <si>
    <t>Swing</t>
  </si>
  <si>
    <t>reverse_horse_riding_seed_39</t>
  </si>
  <si>
    <t>HorseRiding</t>
  </si>
  <si>
    <t>tennis_swing_forward_seed_86</t>
  </si>
  <si>
    <t>TennisSwing</t>
  </si>
  <si>
    <t>reverse_tennis_swing_seed_86</t>
  </si>
  <si>
    <t>jetskiing_seed_77</t>
  </si>
  <si>
    <t>Skijet</t>
  </si>
  <si>
    <t>military_parade_forward_seed_50</t>
  </si>
  <si>
    <t>MilitaryParade</t>
  </si>
  <si>
    <t>rowing_seed_72</t>
  </si>
  <si>
    <t>playing_flute_seed_59</t>
  </si>
  <si>
    <t>PlayingFlute</t>
  </si>
  <si>
    <t>pushups_seed_68</t>
  </si>
  <si>
    <t>player_dunking_basketball_seed_7</t>
  </si>
  <si>
    <t>BasketballDunk</t>
  </si>
  <si>
    <t>reverse_playing_table_seed_62</t>
  </si>
  <si>
    <t>PlayingTabla</t>
  </si>
  <si>
    <t>archery_shooting_arrow_in_reverse_seed_1</t>
  </si>
  <si>
    <t>Archery</t>
  </si>
  <si>
    <t>reverse_kid_hula_hooping_seed_40</t>
  </si>
  <si>
    <t>HulaHoop</t>
  </si>
  <si>
    <t>pizza_dough_tossing_in_air_in_reverse_seed_55</t>
  </si>
  <si>
    <t>PizzaTossing</t>
  </si>
  <si>
    <t>cutting_in_kitchen_in_reverse_seed_23</t>
  </si>
  <si>
    <t>CuttingInKitchen</t>
  </si>
  <si>
    <t>trampoline_jumping_in_reverse_seed_88</t>
  </si>
  <si>
    <t>TrampolineJumping</t>
  </si>
  <si>
    <t>billiards_seed_10</t>
  </si>
  <si>
    <t>olympic_swimmer_diving_from_diving_board_seed_24</t>
  </si>
  <si>
    <t>Diving</t>
  </si>
  <si>
    <t>shooting_basketball_seed_6</t>
  </si>
  <si>
    <t>band_marching_forward_seed_4</t>
  </si>
  <si>
    <t>person_doing_jumping_jacks_seed_44</t>
  </si>
  <si>
    <t>reverse_trampoline_jumping_seed_88</t>
  </si>
  <si>
    <t>kayaking_in_reverse_seed_46</t>
  </si>
  <si>
    <t>Kayaking</t>
  </si>
  <si>
    <t>tennis_swing_seed_86</t>
  </si>
  <si>
    <t>writing_on_board_forward_seed_94</t>
  </si>
  <si>
    <t>WritingOnBoard</t>
  </si>
  <si>
    <t>reverse_athelete_doing_lunge_seed_49</t>
  </si>
  <si>
    <t>reverse_uneven_bars_gymnastics_seed_90</t>
  </si>
  <si>
    <t>UnevenBars</t>
  </si>
  <si>
    <t>reverse_person_playing_dhol_drums_seed_59</t>
  </si>
  <si>
    <t>PlayingDhol</t>
  </si>
  <si>
    <t>reverse_military_parade_seed_50</t>
  </si>
  <si>
    <t>walking_a_dog_in_reverse_seed_92</t>
  </si>
  <si>
    <t>WalkingWithDog</t>
  </si>
  <si>
    <t>person_doing_clean_and_jerk_in_reverse_seed_19</t>
  </si>
  <si>
    <t>CleanAndJerk</t>
  </si>
  <si>
    <t>field_hockey_penalty_in_reverse_seed_27</t>
  </si>
  <si>
    <t>horse_riding_forward_seed_39</t>
  </si>
  <si>
    <t>reverse_person_doing_bench_press_seed_8</t>
  </si>
  <si>
    <t>reverse_baseball_being_thrown_seed_5</t>
  </si>
  <si>
    <t>two_people_fencing_in_reverse_seed_26</t>
  </si>
  <si>
    <t>rafting_reverse_seed_69</t>
  </si>
  <si>
    <t>Rafting</t>
  </si>
  <si>
    <t>reverse_person_pitching_cricket_ball_in_game_seed_21</t>
  </si>
  <si>
    <t>haircut_forward_seed_32</t>
  </si>
  <si>
    <t>playing_table_tennis_in_reverse_seed_84</t>
  </si>
  <si>
    <t>reverse_pizza_dough_tossing_in_air_seed_55</t>
  </si>
  <si>
    <t>body_weight_squat_forward_seed_13</t>
  </si>
  <si>
    <t>cutting_in_kitchen_forward_seed_23</t>
  </si>
  <si>
    <t>person_dunking_basketball_in_reverse_seed_7</t>
  </si>
  <si>
    <t>person_doing_handstand_pushups_in_reverse_seed_35</t>
  </si>
  <si>
    <t>HandstandPushups</t>
  </si>
  <si>
    <t>punching_a_punching_bag_forward_seed_15</t>
  </si>
  <si>
    <t>BoxingPunchingBag</t>
  </si>
  <si>
    <t>bench_press_seed_8</t>
  </si>
  <si>
    <t>reverse_archery_shooting_arrow_seed_1</t>
  </si>
  <si>
    <t>ice_dancing_forward_seed_41</t>
  </si>
  <si>
    <t>military_parade_in_reverse_seed_50</t>
  </si>
  <si>
    <t>trampoline_jumping_forward_seed_88</t>
  </si>
  <si>
    <t>trampoline_jumping_seed_88</t>
  </si>
  <si>
    <t>cake_batter_mixing_seed_51</t>
  </si>
  <si>
    <t>Mixing</t>
  </si>
  <si>
    <t>reverse_video_hammering_seed_33</t>
  </si>
  <si>
    <t>archery_shooting_arrow_seed_1</t>
  </si>
  <si>
    <t>person_playing_guitar_seed_60</t>
  </si>
  <si>
    <t>PlayingGuitar</t>
  </si>
  <si>
    <t>reverse_haircut_seed_32</t>
  </si>
  <si>
    <t>reverse_rafting_seed_69</t>
  </si>
  <si>
    <t>biking_in_reverse_seed_9</t>
  </si>
  <si>
    <t>Biking</t>
  </si>
  <si>
    <t>moving_speed_bag_seed_16</t>
  </si>
  <si>
    <t>typing_seed_89</t>
  </si>
  <si>
    <t>Typing</t>
  </si>
  <si>
    <t>applying_lipstick_forward_seed_0</t>
  </si>
  <si>
    <t>reverse_skiing_seed_76</t>
  </si>
  <si>
    <t>Skiing</t>
  </si>
  <si>
    <t>blow_dry_hair_seed_11</t>
  </si>
  <si>
    <t>BlowDryHair</t>
  </si>
  <si>
    <t>ice_dancing_seed_41</t>
  </si>
  <si>
    <t>batsman_hitting_cricket_shot_in_reverse_seed_22</t>
  </si>
  <si>
    <t>CricketShot</t>
  </si>
  <si>
    <t>people_dancing_salsa_in_reverse_seed_73</t>
  </si>
  <si>
    <t>SalsaSpin</t>
  </si>
  <si>
    <t>taichi_seed_85</t>
  </si>
  <si>
    <t>TaiChi</t>
  </si>
  <si>
    <t>revers_taichi_seed_85</t>
  </si>
  <si>
    <t>cake_batter_mixing_in_reverse_seed_51</t>
  </si>
  <si>
    <t>head_massage_in_reverse_seed_36</t>
  </si>
  <si>
    <t>kid_hula_hooping_in_reverse_seed_40</t>
  </si>
  <si>
    <t>cake_batter_mixing_forward_seed_51</t>
  </si>
  <si>
    <t>playing_tabla_forward_seed_62</t>
  </si>
  <si>
    <t>person_cliff_diving_seed_20</t>
  </si>
  <si>
    <t>tmpo25xf_mo</t>
  </si>
  <si>
    <t>athlete_rope_climbing_forward_seed_71</t>
  </si>
  <si>
    <t>RopeClimbing</t>
  </si>
  <si>
    <t>billiards_forward_seed_10</t>
  </si>
  <si>
    <t>reverse_person_knitting_seed_47</t>
  </si>
  <si>
    <t>Knitting</t>
  </si>
  <si>
    <t>throwing_javelin_seed_42</t>
  </si>
  <si>
    <t>JavelinThrow</t>
  </si>
  <si>
    <t>wall_pushups_forward_seed_93</t>
  </si>
  <si>
    <t>WallPushups</t>
  </si>
  <si>
    <t>haircut_seed_32</t>
  </si>
  <si>
    <t>person_doing_jumping_jacks_forward_seed_44</t>
  </si>
  <si>
    <t>sky_diving_seed_78</t>
  </si>
  <si>
    <t>ice_dancing_in_reverse_seed_41</t>
  </si>
  <si>
    <t>throwing_javelin_forward_seed_42</t>
  </si>
  <si>
    <t>soccer_player_doing_keeups_seed_79</t>
  </si>
  <si>
    <t>attacking_with_nunchucks_seed_53</t>
  </si>
  <si>
    <t>Nunchucks</t>
  </si>
  <si>
    <t>applying_eye_makeup_forward_seed_-1</t>
  </si>
  <si>
    <t>AppleEyeMakeup</t>
  </si>
  <si>
    <t>person_mopping_floor_forward_seed_52</t>
  </si>
  <si>
    <t>MoppingFloor</t>
  </si>
  <si>
    <t>person_doing_handstand_pushups_forward_seed_35</t>
  </si>
  <si>
    <t>playing_tabla_in_reverse_seed_62</t>
  </si>
  <si>
    <t>front_crawl_swimming_seed_30</t>
  </si>
  <si>
    <t>FrontCrawl</t>
  </si>
  <si>
    <t>head_massage_seed_36</t>
  </si>
  <si>
    <t>people_dancing_salsa_forward_seed_73</t>
  </si>
  <si>
    <t>brushing_teeth_seed_18</t>
  </si>
  <si>
    <t>BrushingTeeth</t>
  </si>
  <si>
    <t>person_rope_climbing_in_reverse_seed_71</t>
  </si>
  <si>
    <t>high_jump_seed_37</t>
  </si>
  <si>
    <t>surfing_in_reverse_seed_82</t>
  </si>
  <si>
    <t>reverse_typing_seed_89</t>
  </si>
  <si>
    <t>house_race_seed_38</t>
  </si>
  <si>
    <t>HorseRace</t>
  </si>
  <si>
    <t>person_mopping_floor_in_reverse_seed_52</t>
  </si>
  <si>
    <t>player_dunking_basketball_forward_seed_7</t>
  </si>
  <si>
    <t>person_punching_a_punching_bag_in_reverse_seed_15</t>
  </si>
  <si>
    <t>sumo_wrestling_in_reverse_seed_81</t>
  </si>
  <si>
    <t>SumoWrestling</t>
  </si>
  <si>
    <t>reverse_person_long_jumping_seed_48</t>
  </si>
  <si>
    <t>person_mopping_floor_seed_52</t>
  </si>
  <si>
    <t>person_pitching_cricket_ball_in_game_seed_21</t>
  </si>
  <si>
    <t>cello_being_played_forward_seed_56</t>
  </si>
  <si>
    <t>athlete_performing_parallel_bars_set_forward_seed_54</t>
  </si>
  <si>
    <t>ParallelBars</t>
  </si>
  <si>
    <t>rafting_forward_seed_69</t>
  </si>
  <si>
    <t>attacking_with_nunchucks_forward_seed_53</t>
  </si>
  <si>
    <t>front_crawl_swimming_forward_seed_30</t>
  </si>
  <si>
    <t>man_playing_yoyo_forward_seed_95</t>
  </si>
  <si>
    <t>batsman_hitting_cricket_shot_forward_seed_22</t>
  </si>
  <si>
    <t>reverse_horse_race_seed_38</t>
  </si>
  <si>
    <t>pizza_tossing_seed_55</t>
  </si>
  <si>
    <t>batsman_hitting_cricket_shot_seed_22</t>
  </si>
  <si>
    <t>reverse_person_punching_a_punching_bag_seed_15</t>
  </si>
  <si>
    <t>reverse_soccer_player_ball_in_air_seed_79</t>
  </si>
  <si>
    <t>applying_lipstick_in_reverse_seed_0</t>
  </si>
  <si>
    <t>reverse_throw_discus_seed_87</t>
  </si>
  <si>
    <t>jumping_rope_seed_45</t>
  </si>
  <si>
    <t>person_on_swing_seed_83</t>
  </si>
  <si>
    <t>baby crawling reverse</t>
  </si>
  <si>
    <t>BabyCrawling</t>
  </si>
  <si>
    <t>reverse_athlete_rope_climbing_seed_71</t>
  </si>
  <si>
    <t>reverse_playing_table_tennis_seed_84</t>
  </si>
  <si>
    <t>body_weight_squat_in_reverse_seed_13</t>
  </si>
  <si>
    <t>reverse_batsmen_hitting_cricket_shot_seed_22</t>
  </si>
  <si>
    <t>wall_pushups_in_reverse</t>
  </si>
  <si>
    <t>reverse_balance_beam_seed_3</t>
  </si>
  <si>
    <t>BalanceBeam</t>
  </si>
  <si>
    <t>house_race_forward_seed_38</t>
  </si>
  <si>
    <t>pushups_forward_seed_68</t>
  </si>
  <si>
    <t>pizza_tossing_forward_seed_55</t>
  </si>
  <si>
    <t>person_juggling_forward_seed_43</t>
  </si>
  <si>
    <t>reverse_brushing_teeth_seed_18</t>
  </si>
  <si>
    <t>athlete_performing_parallel_bars_in_reverse_seed_54</t>
  </si>
  <si>
    <t>reverse_huan_dunking_basketball_seed_7</t>
  </si>
  <si>
    <t>reverse_cake_better_mixing_seed_51</t>
  </si>
  <si>
    <t>uneven_bars_gymnastics_forward_seed_90</t>
  </si>
  <si>
    <t>person_playing_instrument_cello_in_reverse_seed_56</t>
  </si>
  <si>
    <t>skateboarding_in_reverse_seed_75</t>
  </si>
  <si>
    <t>head_massage_forward_seed_36</t>
  </si>
  <si>
    <t>pull_ups_seed_66</t>
  </si>
  <si>
    <t>PullUps</t>
  </si>
  <si>
    <t>applying_eye_makeup_in_reverse_seed_-1</t>
  </si>
  <si>
    <t>two_people_fencing_forward_seed_26</t>
  </si>
  <si>
    <t>kayaking_forward_seed_46</t>
  </si>
  <si>
    <t>skiing_forward_seed_76</t>
  </si>
  <si>
    <t>band_marching_in_reverse_seed_4</t>
  </si>
  <si>
    <t>pole_vaulting_seed_64</t>
  </si>
  <si>
    <t>PoleVault</t>
  </si>
  <si>
    <t>person_pitching_cricket_ball_in_game_forward_seed_21</t>
  </si>
  <si>
    <t>person_rock_climbing_up_seed_70</t>
  </si>
  <si>
    <t>balance_beam_in_reverse_seed_3</t>
  </si>
  <si>
    <t>skiing_in_reverse_seed_76</t>
  </si>
  <si>
    <t>reverse_person_throwing_bowling_ball_at_pins_seed_14</t>
  </si>
  <si>
    <t>rafting_seed_69</t>
  </si>
  <si>
    <t>olympic_swimmer_diving_from_diving_board_forward_seed_24</t>
  </si>
  <si>
    <t>reverse_playing_drums_seed_25</t>
  </si>
  <si>
    <t>athlete_rope_climbing_seed_71</t>
  </si>
  <si>
    <t>reverse_kayaking_seed_46</t>
  </si>
  <si>
    <t>reverse_olympic_swimmer_diving_from_diving_board_seed_24</t>
  </si>
  <si>
    <t>athlete_performing_gymnastics_seed_28</t>
  </si>
  <si>
    <t>baby_crawling_seed_2</t>
  </si>
  <si>
    <t>pull_ups_forward_seed_66</t>
  </si>
  <si>
    <t>reverse_swimming_breast_stroke_seed_17</t>
  </si>
  <si>
    <t>person_swinging_golf_club_forward_seed_31</t>
  </si>
  <si>
    <t>reverse_skateboarding_seed_75</t>
  </si>
  <si>
    <t>person_blowing_out_candles_forward_seed_12</t>
  </si>
  <si>
    <t>BlowingCandles</t>
  </si>
  <si>
    <t>person_on_swing_in_reverse_seed_83</t>
  </si>
  <si>
    <t>uneven_bars_gymnatics_in_reverse_seed_90</t>
  </si>
  <si>
    <t>reverse_body_squat_seed_13</t>
  </si>
  <si>
    <t>person_knitting_forward_seed_47</t>
  </si>
  <si>
    <t>person_playing_sitar_seed_61</t>
  </si>
  <si>
    <t>PlayingSitar</t>
  </si>
  <si>
    <t>frisbee_catch_in_reverse_seed_29</t>
  </si>
  <si>
    <t>person_throwing_bowling_ball_at_pins_seed_14</t>
  </si>
  <si>
    <t>cutting_in_kitchen_seed_23</t>
  </si>
  <si>
    <t>person_playing_dhol_drums_forward_seed_58</t>
  </si>
  <si>
    <t>reverse_pommel_horse_seed_65</t>
  </si>
  <si>
    <t>PommelHorse</t>
  </si>
  <si>
    <t>playing_drums_in_reverse_seed_25</t>
  </si>
  <si>
    <t>person_playing_guitar_forward_seed_60</t>
  </si>
  <si>
    <t>person_hammering_forward_seed_33</t>
  </si>
  <si>
    <t>reverse_cutting_in_kitchen_seed_23</t>
  </si>
  <si>
    <t>swimming_breast_stroke_forward_seed_17</t>
  </si>
  <si>
    <t>person_blowing_out_candles_in_reverse_seed_12</t>
  </si>
  <si>
    <t>attacking_with_nunchucks_in_reverse_seed_53</t>
  </si>
  <si>
    <t>hammer_throw_seed_34</t>
  </si>
  <si>
    <t>HammerThrow</t>
  </si>
  <si>
    <t>balance_beam_forward_seed_3</t>
  </si>
  <si>
    <t>reverse_throwing_javelin_seed_42</t>
  </si>
  <si>
    <t>typing_forward_seed_89</t>
  </si>
  <si>
    <t>reverse_shooting_basketball_seed_6</t>
  </si>
  <si>
    <t>jetskiing_forward_seed_77</t>
  </si>
  <si>
    <t>tennis_swing_in_reverse_seed_86</t>
  </si>
  <si>
    <t>military_parade_seed_50</t>
  </si>
  <si>
    <t>person_knitting_seed_47</t>
  </si>
  <si>
    <t>person_cliff_diving_forward_seed_20</t>
  </si>
  <si>
    <t>kid_hula_hooping_seed_40</t>
  </si>
  <si>
    <t>sumo_wrestling_seed_81</t>
  </si>
  <si>
    <t>reverse_person_juggling_seed_43</t>
  </si>
  <si>
    <t>walking_dog_seed_92</t>
  </si>
  <si>
    <t>reverse_volley_ball_spiking_seed_91</t>
  </si>
  <si>
    <t>reverse_person_on_swing_seed_83</t>
  </si>
  <si>
    <t>bench_press_forward_seed_8</t>
  </si>
  <si>
    <t>biking_forward_seed_9</t>
  </si>
  <si>
    <t>writing_on_board_seed_94</t>
  </si>
  <si>
    <t>baseball_thrown_seed_5</t>
  </si>
  <si>
    <t>player_shooting_goal_seed_80</t>
  </si>
  <si>
    <t>SoccerPenalty</t>
  </si>
  <si>
    <t>jet_skiing_in_reverse_seed_77</t>
  </si>
  <si>
    <t>drumming_forward_seed_25</t>
  </si>
  <si>
    <t>person_playing_flute_in_reverse_seed_59</t>
  </si>
  <si>
    <t>two_people_punching_seed_67</t>
  </si>
  <si>
    <t>Punch</t>
  </si>
  <si>
    <t>reverse_moving_speed_bag_seed_16</t>
  </si>
  <si>
    <t>hammer_throw_forward_seed_34</t>
  </si>
  <si>
    <t>pommel_horse_seed_65</t>
  </si>
  <si>
    <t>person_swinging_golf_club_seed_31</t>
  </si>
  <si>
    <t>two_people_fencing_seed_26</t>
  </si>
  <si>
    <t>person_juggling_in_reverse_seed_43</t>
  </si>
  <si>
    <t>person_knitting_in_reverse_seed_47</t>
  </si>
  <si>
    <t>playing_violin_seed_63</t>
  </si>
  <si>
    <t>soccer_player_juggling_ball_in_reverse_seed_79</t>
  </si>
  <si>
    <t>reverse person playing daf drums_seed_57</t>
  </si>
  <si>
    <t>throwing_javelin_in_reverse_seed_42</t>
  </si>
  <si>
    <t>reverse_sumo_wrestling_seed_81</t>
  </si>
  <si>
    <t>balance_beam_seed_3</t>
  </si>
  <si>
    <t>reverse_people_dancing_salsa_seed_73</t>
  </si>
  <si>
    <t>reverse_athlete_performing_gymnastics_seed_28</t>
  </si>
  <si>
    <t>brushing_teeth_in_reverse_seed_18</t>
  </si>
  <si>
    <t>person_playing_sitar_in_reverse_seed_61</t>
  </si>
  <si>
    <t>person_playing_sitar_forward_seed_61</t>
  </si>
  <si>
    <t>reverse_front_crawl_swimming_seed_30</t>
  </si>
  <si>
    <t>field_hockey_penalty_seed_27</t>
  </si>
  <si>
    <t>people_dancing_salsa_seed_73</t>
  </si>
  <si>
    <t>high_jump_in_reverse_seed_37</t>
  </si>
  <si>
    <t>applying_eye_makeup_seed_-1</t>
  </si>
  <si>
    <t>reverse_hammer_throw_seed_34</t>
  </si>
  <si>
    <t>kid_hula_hooping_forward_seed_40</t>
  </si>
  <si>
    <t>athlete_doing_lunges_seed_49</t>
  </si>
  <si>
    <t>person_doing_handstand_pushups_seed_35</t>
  </si>
  <si>
    <t>brushing_teeth_forward_seed_18</t>
  </si>
  <si>
    <t>reverse_high_jump_seed_37</t>
  </si>
  <si>
    <t>archery_shooting_arrow_forward_seed_1</t>
  </si>
  <si>
    <t>clean_and_jerk_forward_seed_19</t>
  </si>
  <si>
    <t>reverse_frisbee_catch_seed_29</t>
  </si>
  <si>
    <t>reverse_person_playing_instrument_cello_seed_56</t>
  </si>
  <si>
    <t>clean_and_jerk_seed_19</t>
  </si>
  <si>
    <t>two_people_punching_forward_seed_67</t>
  </si>
  <si>
    <t>player_shooting_goal_forward_seed_80</t>
  </si>
  <si>
    <t>surfing_forward_seed_82</t>
  </si>
  <si>
    <t>reverse_person_doing_jumping_jacks_seed_44</t>
  </si>
  <si>
    <t>reverse_soccer_player_shooting_seed_80</t>
  </si>
  <si>
    <t>sky_diving_forward_seed_78</t>
  </si>
  <si>
    <t>athlete_throwing_shotput_forward_seed_74</t>
  </si>
  <si>
    <t>pole_vaulting_forward_seed_64</t>
  </si>
  <si>
    <t>person_playing_daf_drums_seed_57</t>
  </si>
  <si>
    <t>playing_flute_forward_seed_59</t>
  </si>
  <si>
    <t>hammer_throw_in_reverse_seed_34</t>
  </si>
  <si>
    <t>throw_discus_forward_seed_87</t>
  </si>
  <si>
    <t>field_hockey_penalty_forward_seed_27</t>
  </si>
  <si>
    <t>reverse_walking_a_dog_seed_92</t>
  </si>
  <si>
    <t>man_playing_yoyo_in_reverse_seed_95</t>
  </si>
  <si>
    <t>reverse_person_playing_flute_seed_59</t>
  </si>
  <si>
    <t>horse_riding_seed_39</t>
  </si>
  <si>
    <t>reverse_pull_ups_seed_66</t>
  </si>
  <si>
    <t>soccer_player_shooting_in_reverse_seed_80</t>
  </si>
  <si>
    <t>reverse_writing_on_board_seed_94</t>
  </si>
  <si>
    <t>soccer_player_juggling_ball_forward_seed_79</t>
  </si>
  <si>
    <t>athlete_performing_gymnastics_forward_seed_28</t>
  </si>
  <si>
    <t>reverse_wall_pushups_seed_93</t>
  </si>
  <si>
    <t>walking_dog_forward_seed_92</t>
  </si>
  <si>
    <t>cliff_diving_in_reverse_seed_20</t>
  </si>
  <si>
    <t>reverse_man_playing_yoyo_seed_95</t>
  </si>
  <si>
    <t>throw_discus_seed_87</t>
  </si>
  <si>
    <t>reerse_blow_dry_hair_seed_11</t>
  </si>
  <si>
    <t>reverse_person_jumping_rope_seed_45</t>
  </si>
  <si>
    <t>reverse_athlete_pole_vaulting_seed_64</t>
  </si>
  <si>
    <t>reverse_person_doing_handstand_pushups_seed_35</t>
  </si>
  <si>
    <t>wall_pushups_seed_93</t>
  </si>
  <si>
    <t>person_playing_dhol_drums_seed_58</t>
  </si>
  <si>
    <t>uneven_bars_gymnastics_seed_90</t>
  </si>
  <si>
    <t>horse_race_in_reverse_seed_38</t>
  </si>
  <si>
    <t>taichi_forward_seed_85</t>
  </si>
  <si>
    <t>playing_tabla_seed_62</t>
  </si>
  <si>
    <t>sumo_wrestling_forward_seed_81</t>
  </si>
  <si>
    <t>reverse_person_playing_guitar_seed_60</t>
  </si>
  <si>
    <t>two_people_punching_in_reverse_seed_67</t>
  </si>
  <si>
    <t>skateboarding_seed_75</t>
  </si>
  <si>
    <t>person_blowing_out_candles_seed_12</t>
  </si>
  <si>
    <t>pommel_horse_forward_seed_65</t>
  </si>
  <si>
    <t>baseball_thrown_forward_seed_5</t>
  </si>
  <si>
    <t>reverse_jet_skiing_seed_77</t>
  </si>
  <si>
    <t>reverse_athlete_performing_parallel_bars_seed_54</t>
  </si>
  <si>
    <t>pull_ups_in_reverse_seed_66</t>
  </si>
  <si>
    <t>reverse_applying_lipstick_seed_0</t>
  </si>
  <si>
    <t>frisbee_catch_seed_29</t>
  </si>
  <si>
    <t>typing in reverse_seed_89</t>
  </si>
  <si>
    <t>surfing_seed_82</t>
  </si>
  <si>
    <t>person_jumping_rope_in_reverse_seed_45</t>
  </si>
  <si>
    <t>soccer_player_juggling_ball_seed_79</t>
  </si>
  <si>
    <t>reverse_biking_seed_9</t>
  </si>
  <si>
    <t>reverse_attacking_with_nunchucks_seed_53</t>
  </si>
  <si>
    <t>person_playing_dhol_drums_in_reverse_seed_58</t>
  </si>
  <si>
    <t>shooting_basketball_in_reverse_seed_6</t>
  </si>
  <si>
    <t>volley_ball_spiking_forward_seed_91</t>
  </si>
  <si>
    <t>pole_vaulting_in_reverse_seed_64</t>
  </si>
  <si>
    <t>reverse_athlete_throwing_shotput_seed_74</t>
  </si>
  <si>
    <t>skiing_seed_76</t>
  </si>
  <si>
    <t>athlete_doing_lunge_in_reverse_seed_49</t>
  </si>
  <si>
    <t>athlete_throwing_shotput_in_reverse_seed_74</t>
  </si>
  <si>
    <t>swimming_breast_stroke_in_reverse</t>
  </si>
  <si>
    <t>baby_crawling_in_reverse_seed_2</t>
  </si>
  <si>
    <t>reverse_two_people_punching_seed_67</t>
  </si>
  <si>
    <t>person_playing_guitar_in_reverse_seed_60</t>
  </si>
  <si>
    <t>baby_crawling_forward_seed_2</t>
  </si>
  <si>
    <t>person_throwing_bowling_ball_at_pins_forward_seed_14</t>
  </si>
  <si>
    <t>athlete_performing_parallel_bars_set_54</t>
  </si>
  <si>
    <t>volley_ball_spiking_seed_91</t>
  </si>
  <si>
    <t>writing_on_board_in_reverse_seed_94</t>
  </si>
  <si>
    <t>blow_dry_hair_forward_seed_11</t>
  </si>
  <si>
    <t>punching_a_punching_bag_seed_15</t>
  </si>
  <si>
    <t>reverse_person_doing_clean_and_jerk_seed_19</t>
  </si>
  <si>
    <t>playing_table_tennis_forward_seed_84</t>
  </si>
  <si>
    <t>kayaking_seed_46</t>
  </si>
  <si>
    <t>pommel_horse_in_reverse_seed_65</t>
  </si>
  <si>
    <t>olympic_swimmer_diving_from_diving_board_in_reverse_seed_24</t>
  </si>
  <si>
    <t>reverse_person_playing_sitar_seed_61</t>
  </si>
  <si>
    <t>front_crawl_in_reverse_seed_30</t>
  </si>
  <si>
    <t>reverse_applying_eye_makeup_seed_-1</t>
  </si>
  <si>
    <t>horse_riding_in_reverse_seed_39</t>
  </si>
  <si>
    <t>taichi_in_reverse_seed_85</t>
  </si>
  <si>
    <t>biking_seed_9</t>
  </si>
  <si>
    <t>Confusion Matrix</t>
  </si>
  <si>
    <t>Category Summary</t>
  </si>
  <si>
    <t>Predicted Backward</t>
  </si>
  <si>
    <t>Predicted Forward</t>
  </si>
  <si>
    <t>Actual Backward</t>
  </si>
  <si>
    <t>Predicted Forward Correctly</t>
  </si>
  <si>
    <t>Predicted Forward Incorrectly</t>
  </si>
  <si>
    <t>Predicted Backward Correctly</t>
  </si>
  <si>
    <t>Predicted Backward Incorrectly</t>
  </si>
  <si>
    <t>Forward Accuracy%</t>
  </si>
  <si>
    <t>Backward Accuracy %</t>
  </si>
  <si>
    <t>Actual Forward</t>
  </si>
  <si>
    <t>Total Videos</t>
  </si>
  <si>
    <t>Accuracy</t>
  </si>
  <si>
    <t>Precision for Backward</t>
  </si>
  <si>
    <t>Recall for Backward</t>
  </si>
  <si>
    <t>F1 for Backward</t>
  </si>
  <si>
    <t>Precision for Forward</t>
  </si>
  <si>
    <t>Recall for Forward</t>
  </si>
  <si>
    <t>F1 for Forward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</si>
</sst>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FFFFFF"/>
      <name val="Monac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6" fillId="0" borderId="0" xfId="0" applyFont="1"/>
    <xf numFmtId="0" fontId="18" fillId="0" borderId="0" xfId="0" applyFont="1" applyAlignment="1">
      <alignment horizontal="center"/>
    </xf>
    <xf numFmtId="0" fontId="19" fillId="0" borderId="0" xfId="0" applyFont="1"/>
    <xf numFmtId="9" fontId="0" fillId="0" borderId="0" xfId="1" applyFont="1"/>
    <xf numFmtId="0" fontId="0" fillId="0" borderId="0" xfId="0" applyFill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89"/>
  <sheetViews>
    <sheetView tabSelected="1" workbookViewId="0">
      <selection activeCell="K14" sqref="K14"/>
    </sheetView>
  </sheetViews>
  <sheetFormatPr baseColWidth="10" defaultRowHeight="16" x14ac:dyDescent="0.2"/>
  <cols>
    <col min="9" max="9" width="17.5" bestFit="1" customWidth="1"/>
  </cols>
  <sheetData>
    <row r="1" spans="1:20" x14ac:dyDescent="0.2">
      <c r="A1" s="1" t="s">
        <v>0</v>
      </c>
      <c r="B1" s="1" t="s">
        <v>1</v>
      </c>
      <c r="C1" s="1" t="s">
        <v>2</v>
      </c>
      <c r="D1" s="1" t="s">
        <v>3</v>
      </c>
    </row>
    <row r="2" spans="1:20" x14ac:dyDescent="0.2">
      <c r="A2" t="s">
        <v>4</v>
      </c>
      <c r="B2" t="s">
        <v>5</v>
      </c>
      <c r="C2">
        <v>1</v>
      </c>
      <c r="D2">
        <v>1</v>
      </c>
    </row>
    <row r="3" spans="1:20" ht="21" x14ac:dyDescent="0.25">
      <c r="A3" t="s">
        <v>6</v>
      </c>
      <c r="B3" t="s">
        <v>7</v>
      </c>
      <c r="C3">
        <v>0</v>
      </c>
      <c r="D3">
        <v>0</v>
      </c>
      <c r="H3" s="2" t="s">
        <v>487</v>
      </c>
      <c r="I3" s="2"/>
      <c r="J3" s="2"/>
      <c r="O3" s="2" t="s">
        <v>488</v>
      </c>
      <c r="P3" s="2"/>
    </row>
    <row r="4" spans="1:20" x14ac:dyDescent="0.2">
      <c r="A4" t="s">
        <v>8</v>
      </c>
      <c r="B4" t="s">
        <v>9</v>
      </c>
      <c r="C4">
        <v>1</v>
      </c>
      <c r="D4">
        <v>0</v>
      </c>
      <c r="I4" t="s">
        <v>489</v>
      </c>
      <c r="J4" t="s">
        <v>490</v>
      </c>
    </row>
    <row r="5" spans="1:20" ht="19" x14ac:dyDescent="0.25">
      <c r="A5" t="s">
        <v>10</v>
      </c>
      <c r="B5" t="s">
        <v>11</v>
      </c>
      <c r="C5">
        <v>1</v>
      </c>
      <c r="D5">
        <v>0</v>
      </c>
      <c r="H5" t="s">
        <v>491</v>
      </c>
      <c r="I5">
        <f>COUNTIFS(C2:C389, 0, D2:D389, 0)</f>
        <v>98</v>
      </c>
      <c r="J5">
        <f>COUNTIFS(C2:C389, 0, D2:D389, 1)</f>
        <v>95</v>
      </c>
      <c r="N5" s="3" t="str" cm="1">
        <f t="array" ref="N5:N101">_xlfn.UNIQUE(B2:B389)</f>
        <v>BandMarching</v>
      </c>
      <c r="O5" s="1" t="s">
        <v>492</v>
      </c>
      <c r="P5" s="1" t="s">
        <v>493</v>
      </c>
      <c r="Q5" s="1" t="s">
        <v>494</v>
      </c>
      <c r="R5" s="1" t="s">
        <v>495</v>
      </c>
      <c r="S5" s="1" t="s">
        <v>496</v>
      </c>
      <c r="T5" s="1" t="s">
        <v>497</v>
      </c>
    </row>
    <row r="6" spans="1:20" x14ac:dyDescent="0.2">
      <c r="A6" t="s">
        <v>12</v>
      </c>
      <c r="B6" t="s">
        <v>13</v>
      </c>
      <c r="C6">
        <v>1</v>
      </c>
      <c r="D6">
        <v>0</v>
      </c>
      <c r="H6" t="s">
        <v>498</v>
      </c>
      <c r="I6">
        <f>COUNTIFS(C2:C389, 1, D2:D389, 0)</f>
        <v>85</v>
      </c>
      <c r="J6">
        <f>COUNTIFS(C2:C389, 1, D2:D389, 1)</f>
        <v>110</v>
      </c>
      <c r="N6" t="str">
        <v>PushUps</v>
      </c>
      <c r="O6">
        <f>COUNTIFS($B$2:$B$389,N6, $C$2:$C$389, 1, $D$2:$D$389, 1)</f>
        <v>1</v>
      </c>
      <c r="P6">
        <f>COUNTIFS($B$2:$B$389,N6, $C$2:$C$389, 0, $D$2:$D$389, 1)</f>
        <v>1</v>
      </c>
      <c r="Q6">
        <f>COUNTIFS($B$2:$B$389,N6, $C$2:$C$389, 0, $D$2:$D$389, 0)</f>
        <v>1</v>
      </c>
      <c r="R6">
        <f>COUNTIFS($B$2:$B$389,N6, $C$2:$C$389, 1, $D$2:$D$389, 0)</f>
        <v>1</v>
      </c>
      <c r="S6" s="4">
        <f>O6/(R6+O6)</f>
        <v>0.5</v>
      </c>
      <c r="T6" s="4">
        <f>Q6/(Q6+P6)</f>
        <v>0.5</v>
      </c>
    </row>
    <row r="7" spans="1:20" x14ac:dyDescent="0.2">
      <c r="A7" t="s">
        <v>14</v>
      </c>
      <c r="B7" t="s">
        <v>15</v>
      </c>
      <c r="C7">
        <v>1</v>
      </c>
      <c r="D7">
        <v>1</v>
      </c>
      <c r="N7" t="str">
        <v>SoccerJuggling</v>
      </c>
      <c r="O7">
        <f t="shared" ref="O7:O70" si="0">COUNTIFS($B$2:$B$389,N7, $C$2:$C$389, 1, $D$2:$D$389, 1)</f>
        <v>2</v>
      </c>
      <c r="P7">
        <f t="shared" ref="P7:P70" si="1">COUNTIFS($B$2:$B$389,N7, $C$2:$C$389, 0, $D$2:$D$389, 1)</f>
        <v>0</v>
      </c>
      <c r="Q7">
        <f t="shared" ref="Q7:Q70" si="2">COUNTIFS($B$2:$B$389,N7, $C$2:$C$389, 0, $D$2:$D$389, 0)</f>
        <v>2</v>
      </c>
      <c r="R7">
        <f t="shared" ref="R7:R70" si="3">COUNTIFS($B$2:$B$389,N7, $C$2:$C$389, 1, $D$2:$D$389, 0)</f>
        <v>2</v>
      </c>
      <c r="S7" s="4">
        <f t="shared" ref="S7:S70" si="4">O7/(R7+O7)</f>
        <v>0.5</v>
      </c>
      <c r="T7" s="4">
        <f t="shared" ref="T7:T70" si="5">Q7/(Q7+P7)</f>
        <v>1</v>
      </c>
    </row>
    <row r="8" spans="1:20" x14ac:dyDescent="0.2">
      <c r="A8" t="s">
        <v>16</v>
      </c>
      <c r="B8" t="s">
        <v>17</v>
      </c>
      <c r="C8">
        <v>1</v>
      </c>
      <c r="D8">
        <v>1</v>
      </c>
      <c r="H8" t="s">
        <v>499</v>
      </c>
      <c r="I8">
        <f>SUM(I5:J6)</f>
        <v>388</v>
      </c>
      <c r="N8" t="str">
        <v>JugglingBalls</v>
      </c>
      <c r="O8">
        <f t="shared" si="0"/>
        <v>1</v>
      </c>
      <c r="P8">
        <f t="shared" si="1"/>
        <v>1</v>
      </c>
      <c r="Q8">
        <f t="shared" si="2"/>
        <v>1</v>
      </c>
      <c r="R8">
        <f t="shared" si="3"/>
        <v>1</v>
      </c>
      <c r="S8" s="4">
        <f t="shared" si="4"/>
        <v>0.5</v>
      </c>
      <c r="T8" s="4">
        <f t="shared" si="5"/>
        <v>0.5</v>
      </c>
    </row>
    <row r="9" spans="1:20" x14ac:dyDescent="0.2">
      <c r="A9" t="s">
        <v>18</v>
      </c>
      <c r="B9" t="s">
        <v>19</v>
      </c>
      <c r="C9">
        <v>0</v>
      </c>
      <c r="D9">
        <v>1</v>
      </c>
      <c r="H9" t="s">
        <v>500</v>
      </c>
      <c r="I9" s="4">
        <f>(I5+J6)/I8</f>
        <v>0.53608247422680411</v>
      </c>
      <c r="N9" t="str">
        <v>FrisbeeCatch</v>
      </c>
      <c r="O9">
        <f t="shared" si="0"/>
        <v>0</v>
      </c>
      <c r="P9">
        <f t="shared" si="1"/>
        <v>1</v>
      </c>
      <c r="Q9">
        <f t="shared" si="2"/>
        <v>1</v>
      </c>
      <c r="R9">
        <f t="shared" si="3"/>
        <v>2</v>
      </c>
      <c r="S9" s="4">
        <f t="shared" si="4"/>
        <v>0</v>
      </c>
      <c r="T9" s="4">
        <f t="shared" si="5"/>
        <v>0.5</v>
      </c>
    </row>
    <row r="10" spans="1:20" x14ac:dyDescent="0.2">
      <c r="A10" t="s">
        <v>20</v>
      </c>
      <c r="B10" t="s">
        <v>21</v>
      </c>
      <c r="C10">
        <v>1</v>
      </c>
      <c r="D10">
        <v>1</v>
      </c>
      <c r="N10" t="str">
        <v>YoYo</v>
      </c>
      <c r="O10">
        <f t="shared" si="0"/>
        <v>1</v>
      </c>
      <c r="P10">
        <f t="shared" si="1"/>
        <v>0</v>
      </c>
      <c r="Q10">
        <f t="shared" si="2"/>
        <v>2</v>
      </c>
      <c r="R10">
        <f t="shared" si="3"/>
        <v>1</v>
      </c>
      <c r="S10" s="4">
        <f t="shared" si="4"/>
        <v>0.5</v>
      </c>
      <c r="T10" s="4">
        <f t="shared" si="5"/>
        <v>1</v>
      </c>
    </row>
    <row r="11" spans="1:20" x14ac:dyDescent="0.2">
      <c r="A11" t="s">
        <v>22</v>
      </c>
      <c r="B11" t="s">
        <v>23</v>
      </c>
      <c r="C11">
        <v>1</v>
      </c>
      <c r="D11">
        <v>1</v>
      </c>
      <c r="H11" t="s">
        <v>501</v>
      </c>
      <c r="I11">
        <f>I5/(I5+I6)</f>
        <v>0.53551912568306015</v>
      </c>
      <c r="N11" s="5" t="str">
        <v>BoxingSpeedBag</v>
      </c>
      <c r="O11">
        <f t="shared" si="0"/>
        <v>2</v>
      </c>
      <c r="P11">
        <f t="shared" si="1"/>
        <v>1</v>
      </c>
      <c r="Q11">
        <f t="shared" si="2"/>
        <v>1</v>
      </c>
      <c r="R11">
        <f t="shared" si="3"/>
        <v>0</v>
      </c>
      <c r="S11" s="4">
        <f t="shared" si="4"/>
        <v>1</v>
      </c>
      <c r="T11" s="4">
        <f t="shared" si="5"/>
        <v>0.5</v>
      </c>
    </row>
    <row r="12" spans="1:20" x14ac:dyDescent="0.2">
      <c r="A12" t="s">
        <v>24</v>
      </c>
      <c r="B12" t="s">
        <v>25</v>
      </c>
      <c r="C12">
        <v>1</v>
      </c>
      <c r="D12">
        <v>1</v>
      </c>
      <c r="H12" t="s">
        <v>502</v>
      </c>
      <c r="I12">
        <f>(I5/(I5+J5))</f>
        <v>0.50777202072538863</v>
      </c>
      <c r="N12" s="5" t="str">
        <v>Bowling</v>
      </c>
      <c r="O12">
        <f t="shared" si="0"/>
        <v>0</v>
      </c>
      <c r="P12">
        <f t="shared" si="1"/>
        <v>2</v>
      </c>
      <c r="Q12">
        <f t="shared" si="2"/>
        <v>0</v>
      </c>
      <c r="R12">
        <f t="shared" si="3"/>
        <v>2</v>
      </c>
      <c r="S12" s="4">
        <f t="shared" si="4"/>
        <v>0</v>
      </c>
      <c r="T12" s="4">
        <f t="shared" si="5"/>
        <v>0</v>
      </c>
    </row>
    <row r="13" spans="1:20" x14ac:dyDescent="0.2">
      <c r="A13" t="s">
        <v>26</v>
      </c>
      <c r="B13" t="s">
        <v>27</v>
      </c>
      <c r="C13">
        <v>1</v>
      </c>
      <c r="D13">
        <v>1</v>
      </c>
      <c r="H13" t="s">
        <v>503</v>
      </c>
      <c r="I13">
        <f>2*(I11*I12/(I11+I12))</f>
        <v>0.52127659574468088</v>
      </c>
      <c r="N13" t="str">
        <v>RockClimbingIndoor</v>
      </c>
      <c r="O13">
        <f t="shared" si="0"/>
        <v>2</v>
      </c>
      <c r="P13">
        <f t="shared" si="1"/>
        <v>0</v>
      </c>
      <c r="Q13">
        <f t="shared" si="2"/>
        <v>2</v>
      </c>
      <c r="R13">
        <f t="shared" si="3"/>
        <v>0</v>
      </c>
      <c r="S13" s="4">
        <f t="shared" si="4"/>
        <v>1</v>
      </c>
      <c r="T13" s="4">
        <f t="shared" si="5"/>
        <v>1</v>
      </c>
    </row>
    <row r="14" spans="1:20" x14ac:dyDescent="0.2">
      <c r="A14" t="s">
        <v>28</v>
      </c>
      <c r="B14" t="s">
        <v>29</v>
      </c>
      <c r="C14">
        <v>0</v>
      </c>
      <c r="D14">
        <v>0</v>
      </c>
      <c r="N14" t="str">
        <v>HighJump</v>
      </c>
      <c r="O14">
        <f t="shared" si="0"/>
        <v>2</v>
      </c>
      <c r="P14">
        <f t="shared" si="1"/>
        <v>1</v>
      </c>
      <c r="Q14">
        <f t="shared" si="2"/>
        <v>1</v>
      </c>
      <c r="R14">
        <f t="shared" si="3"/>
        <v>0</v>
      </c>
      <c r="S14" s="4">
        <f t="shared" si="4"/>
        <v>1</v>
      </c>
      <c r="T14" s="4">
        <f t="shared" si="5"/>
        <v>0.5</v>
      </c>
    </row>
    <row r="15" spans="1:20" x14ac:dyDescent="0.2">
      <c r="A15" t="s">
        <v>30</v>
      </c>
      <c r="B15" t="s">
        <v>31</v>
      </c>
      <c r="C15">
        <v>0</v>
      </c>
      <c r="D15">
        <v>0</v>
      </c>
      <c r="H15" t="s">
        <v>504</v>
      </c>
      <c r="I15">
        <f>J6/(J6+J5)</f>
        <v>0.53658536585365857</v>
      </c>
      <c r="N15" t="str">
        <v>BodyWeightSquats</v>
      </c>
      <c r="O15">
        <f t="shared" si="0"/>
        <v>1</v>
      </c>
      <c r="P15">
        <f t="shared" si="1"/>
        <v>1</v>
      </c>
      <c r="Q15">
        <f t="shared" si="2"/>
        <v>1</v>
      </c>
      <c r="R15">
        <f t="shared" si="3"/>
        <v>1</v>
      </c>
      <c r="S15" s="4">
        <f t="shared" si="4"/>
        <v>0.5</v>
      </c>
      <c r="T15" s="4">
        <f t="shared" si="5"/>
        <v>0.5</v>
      </c>
    </row>
    <row r="16" spans="1:20" x14ac:dyDescent="0.2">
      <c r="A16" t="s">
        <v>32</v>
      </c>
      <c r="B16" t="s">
        <v>29</v>
      </c>
      <c r="C16">
        <v>0</v>
      </c>
      <c r="D16">
        <v>0</v>
      </c>
      <c r="H16" t="s">
        <v>505</v>
      </c>
      <c r="I16">
        <f>J6/(J6+I6)</f>
        <v>0.5641025641025641</v>
      </c>
      <c r="N16" t="str">
        <v>Basketball</v>
      </c>
      <c r="O16">
        <f t="shared" si="0"/>
        <v>2</v>
      </c>
      <c r="P16">
        <f t="shared" si="1"/>
        <v>1</v>
      </c>
      <c r="Q16">
        <f t="shared" si="2"/>
        <v>1</v>
      </c>
      <c r="R16">
        <f t="shared" si="3"/>
        <v>0</v>
      </c>
      <c r="S16" s="4">
        <f t="shared" si="4"/>
        <v>1</v>
      </c>
      <c r="T16" s="4">
        <f t="shared" si="5"/>
        <v>0.5</v>
      </c>
    </row>
    <row r="17" spans="1:20" x14ac:dyDescent="0.2">
      <c r="A17" t="s">
        <v>33</v>
      </c>
      <c r="B17" t="s">
        <v>34</v>
      </c>
      <c r="C17">
        <v>0</v>
      </c>
      <c r="D17">
        <v>1</v>
      </c>
      <c r="H17" t="s">
        <v>506</v>
      </c>
      <c r="I17">
        <f>2*(I15*I16/(I15+I16))</f>
        <v>0.55000000000000004</v>
      </c>
      <c r="N17" t="str">
        <v>GolfSwing</v>
      </c>
      <c r="O17">
        <f t="shared" si="0"/>
        <v>0</v>
      </c>
      <c r="P17">
        <f t="shared" si="1"/>
        <v>0</v>
      </c>
      <c r="Q17">
        <f t="shared" si="2"/>
        <v>2</v>
      </c>
      <c r="R17">
        <f t="shared" si="3"/>
        <v>2</v>
      </c>
      <c r="S17" s="4">
        <f t="shared" si="4"/>
        <v>0</v>
      </c>
      <c r="T17" s="4">
        <f t="shared" si="5"/>
        <v>1</v>
      </c>
    </row>
    <row r="18" spans="1:20" x14ac:dyDescent="0.2">
      <c r="A18" t="s">
        <v>35</v>
      </c>
      <c r="B18" t="s">
        <v>36</v>
      </c>
      <c r="C18">
        <v>1</v>
      </c>
      <c r="D18">
        <v>0</v>
      </c>
      <c r="N18" t="str">
        <v>PlayingViolin</v>
      </c>
      <c r="O18">
        <f t="shared" si="0"/>
        <v>1</v>
      </c>
      <c r="P18">
        <f t="shared" si="1"/>
        <v>1</v>
      </c>
      <c r="Q18">
        <f t="shared" si="2"/>
        <v>1</v>
      </c>
      <c r="R18">
        <f t="shared" si="3"/>
        <v>1</v>
      </c>
      <c r="S18" s="4">
        <f t="shared" si="4"/>
        <v>0.5</v>
      </c>
      <c r="T18" s="4">
        <f t="shared" si="5"/>
        <v>0.5</v>
      </c>
    </row>
    <row r="19" spans="1:20" x14ac:dyDescent="0.2">
      <c r="A19" t="s">
        <v>37</v>
      </c>
      <c r="B19" t="s">
        <v>38</v>
      </c>
      <c r="C19">
        <v>0</v>
      </c>
      <c r="D19">
        <v>0</v>
      </c>
      <c r="N19" t="str">
        <v>CricketBowling</v>
      </c>
      <c r="O19">
        <f t="shared" si="0"/>
        <v>0</v>
      </c>
      <c r="P19">
        <f t="shared" si="1"/>
        <v>1</v>
      </c>
      <c r="Q19">
        <f t="shared" si="2"/>
        <v>1</v>
      </c>
      <c r="R19">
        <f t="shared" si="3"/>
        <v>2</v>
      </c>
      <c r="S19" s="4">
        <f t="shared" si="4"/>
        <v>0</v>
      </c>
      <c r="T19" s="4">
        <f t="shared" si="5"/>
        <v>0.5</v>
      </c>
    </row>
    <row r="20" spans="1:20" x14ac:dyDescent="0.2">
      <c r="A20" t="s">
        <v>39</v>
      </c>
      <c r="B20" t="s">
        <v>40</v>
      </c>
      <c r="C20">
        <v>1</v>
      </c>
      <c r="D20">
        <v>0</v>
      </c>
      <c r="N20" t="str">
        <v>Rowing</v>
      </c>
      <c r="O20">
        <f t="shared" si="0"/>
        <v>1</v>
      </c>
      <c r="P20">
        <f t="shared" si="1"/>
        <v>0</v>
      </c>
      <c r="Q20">
        <f t="shared" si="2"/>
        <v>2</v>
      </c>
      <c r="R20">
        <f t="shared" si="3"/>
        <v>1</v>
      </c>
      <c r="S20" s="4">
        <f t="shared" si="4"/>
        <v>0.5</v>
      </c>
      <c r="T20" s="4">
        <f t="shared" si="5"/>
        <v>1</v>
      </c>
    </row>
    <row r="21" spans="1:20" x14ac:dyDescent="0.2">
      <c r="A21" t="s">
        <v>41</v>
      </c>
      <c r="B21" t="s">
        <v>42</v>
      </c>
      <c r="C21">
        <v>0</v>
      </c>
      <c r="D21">
        <v>1</v>
      </c>
      <c r="N21" t="str">
        <v>HeadMassage</v>
      </c>
      <c r="O21">
        <f t="shared" si="0"/>
        <v>0</v>
      </c>
      <c r="P21">
        <f t="shared" si="1"/>
        <v>0</v>
      </c>
      <c r="Q21">
        <f t="shared" si="2"/>
        <v>2</v>
      </c>
      <c r="R21">
        <f t="shared" si="3"/>
        <v>2</v>
      </c>
      <c r="S21" s="4">
        <f t="shared" si="4"/>
        <v>0</v>
      </c>
      <c r="T21" s="4">
        <f t="shared" si="5"/>
        <v>1</v>
      </c>
    </row>
    <row r="22" spans="1:20" x14ac:dyDescent="0.2">
      <c r="A22" t="s">
        <v>43</v>
      </c>
      <c r="B22" t="s">
        <v>44</v>
      </c>
      <c r="C22">
        <v>0</v>
      </c>
      <c r="D22">
        <v>1</v>
      </c>
      <c r="N22" t="str">
        <v>AppleLipstick</v>
      </c>
      <c r="O22">
        <f t="shared" si="0"/>
        <v>0</v>
      </c>
      <c r="P22">
        <f t="shared" si="1"/>
        <v>0</v>
      </c>
      <c r="Q22">
        <f t="shared" si="2"/>
        <v>2</v>
      </c>
      <c r="R22">
        <f t="shared" si="3"/>
        <v>2</v>
      </c>
      <c r="S22" s="4">
        <f t="shared" si="4"/>
        <v>0</v>
      </c>
      <c r="T22" s="4">
        <f t="shared" si="5"/>
        <v>1</v>
      </c>
    </row>
    <row r="23" spans="1:20" x14ac:dyDescent="0.2">
      <c r="A23" t="s">
        <v>45</v>
      </c>
      <c r="B23" t="s">
        <v>46</v>
      </c>
      <c r="C23">
        <v>0</v>
      </c>
      <c r="D23">
        <v>1</v>
      </c>
      <c r="N23" t="str">
        <v>VolleyballSpiking</v>
      </c>
      <c r="O23">
        <f t="shared" si="0"/>
        <v>2</v>
      </c>
      <c r="P23">
        <f t="shared" si="1"/>
        <v>2</v>
      </c>
      <c r="Q23">
        <f t="shared" si="2"/>
        <v>0</v>
      </c>
      <c r="R23">
        <f t="shared" si="3"/>
        <v>0</v>
      </c>
      <c r="S23" s="4">
        <f t="shared" si="4"/>
        <v>1</v>
      </c>
      <c r="T23" s="4">
        <f t="shared" si="5"/>
        <v>0</v>
      </c>
    </row>
    <row r="24" spans="1:20" x14ac:dyDescent="0.2">
      <c r="A24" t="s">
        <v>47</v>
      </c>
      <c r="B24" t="s">
        <v>36</v>
      </c>
      <c r="C24">
        <v>0</v>
      </c>
      <c r="D24">
        <v>0</v>
      </c>
      <c r="N24" t="str">
        <v>SkyDiving</v>
      </c>
      <c r="O24">
        <f t="shared" si="0"/>
        <v>2</v>
      </c>
      <c r="P24">
        <f t="shared" si="1"/>
        <v>2</v>
      </c>
      <c r="Q24">
        <f t="shared" si="2"/>
        <v>0</v>
      </c>
      <c r="R24">
        <f t="shared" si="3"/>
        <v>0</v>
      </c>
      <c r="S24" s="4">
        <f t="shared" si="4"/>
        <v>1</v>
      </c>
      <c r="T24" s="4">
        <f t="shared" si="5"/>
        <v>0</v>
      </c>
    </row>
    <row r="25" spans="1:20" x14ac:dyDescent="0.2">
      <c r="A25" t="s">
        <v>48</v>
      </c>
      <c r="B25" t="s">
        <v>49</v>
      </c>
      <c r="C25">
        <v>0</v>
      </c>
      <c r="D25">
        <v>0</v>
      </c>
      <c r="N25" t="str">
        <v>Haircut</v>
      </c>
      <c r="O25">
        <f t="shared" si="0"/>
        <v>1</v>
      </c>
      <c r="P25">
        <f t="shared" si="1"/>
        <v>1</v>
      </c>
      <c r="Q25">
        <f t="shared" si="2"/>
        <v>1</v>
      </c>
      <c r="R25">
        <f t="shared" si="3"/>
        <v>1</v>
      </c>
      <c r="S25" s="4">
        <f t="shared" si="4"/>
        <v>0.5</v>
      </c>
      <c r="T25" s="4">
        <f t="shared" si="5"/>
        <v>0.5</v>
      </c>
    </row>
    <row r="26" spans="1:20" x14ac:dyDescent="0.2">
      <c r="A26" t="s">
        <v>50</v>
      </c>
      <c r="B26" t="s">
        <v>51</v>
      </c>
      <c r="C26">
        <v>0</v>
      </c>
      <c r="D26">
        <v>0</v>
      </c>
      <c r="N26" t="str">
        <v>BenchPress</v>
      </c>
      <c r="O26">
        <f t="shared" si="0"/>
        <v>1</v>
      </c>
      <c r="P26">
        <f t="shared" si="1"/>
        <v>0</v>
      </c>
      <c r="Q26">
        <f t="shared" si="2"/>
        <v>2</v>
      </c>
      <c r="R26">
        <f t="shared" si="3"/>
        <v>1</v>
      </c>
      <c r="S26" s="4">
        <f t="shared" si="4"/>
        <v>0.5</v>
      </c>
      <c r="T26" s="4">
        <f t="shared" si="5"/>
        <v>1</v>
      </c>
    </row>
    <row r="27" spans="1:20" x14ac:dyDescent="0.2">
      <c r="A27" t="s">
        <v>52</v>
      </c>
      <c r="B27" t="s">
        <v>7</v>
      </c>
      <c r="C27">
        <v>0</v>
      </c>
      <c r="D27">
        <v>1</v>
      </c>
      <c r="N27" t="str">
        <v>Surfing</v>
      </c>
      <c r="O27">
        <f t="shared" si="0"/>
        <v>0</v>
      </c>
      <c r="P27">
        <f t="shared" si="1"/>
        <v>0</v>
      </c>
      <c r="Q27">
        <f t="shared" si="2"/>
        <v>2</v>
      </c>
      <c r="R27">
        <f t="shared" si="3"/>
        <v>2</v>
      </c>
      <c r="S27" s="4">
        <f t="shared" si="4"/>
        <v>0</v>
      </c>
      <c r="T27" s="4">
        <f t="shared" si="5"/>
        <v>1</v>
      </c>
    </row>
    <row r="28" spans="1:20" x14ac:dyDescent="0.2">
      <c r="A28" t="s">
        <v>53</v>
      </c>
      <c r="B28" t="s">
        <v>54</v>
      </c>
      <c r="C28">
        <v>1</v>
      </c>
      <c r="D28">
        <v>1</v>
      </c>
      <c r="N28" t="str">
        <v>Shotput</v>
      </c>
      <c r="O28">
        <f t="shared" si="0"/>
        <v>1</v>
      </c>
      <c r="P28">
        <f t="shared" si="1"/>
        <v>0</v>
      </c>
      <c r="Q28">
        <f t="shared" si="2"/>
        <v>2</v>
      </c>
      <c r="R28">
        <f t="shared" si="3"/>
        <v>1</v>
      </c>
      <c r="S28" s="4">
        <f t="shared" si="4"/>
        <v>0.5</v>
      </c>
      <c r="T28" s="4">
        <f t="shared" si="5"/>
        <v>1</v>
      </c>
    </row>
    <row r="29" spans="1:20" x14ac:dyDescent="0.2">
      <c r="A29" t="s">
        <v>55</v>
      </c>
      <c r="B29" t="s">
        <v>56</v>
      </c>
      <c r="C29">
        <v>0</v>
      </c>
      <c r="D29">
        <v>0</v>
      </c>
      <c r="N29" t="str">
        <v>CliffDiving</v>
      </c>
      <c r="O29">
        <f t="shared" si="0"/>
        <v>0</v>
      </c>
      <c r="P29">
        <f t="shared" si="1"/>
        <v>0</v>
      </c>
      <c r="Q29">
        <f t="shared" si="2"/>
        <v>2</v>
      </c>
      <c r="R29">
        <f t="shared" si="3"/>
        <v>2</v>
      </c>
      <c r="S29" s="4">
        <f t="shared" si="4"/>
        <v>0</v>
      </c>
      <c r="T29" s="4">
        <f t="shared" si="5"/>
        <v>1</v>
      </c>
    </row>
    <row r="30" spans="1:20" x14ac:dyDescent="0.2">
      <c r="A30" t="s">
        <v>57</v>
      </c>
      <c r="B30" t="s">
        <v>58</v>
      </c>
      <c r="C30">
        <v>0</v>
      </c>
      <c r="D30">
        <v>1</v>
      </c>
      <c r="N30" t="str">
        <v>PlayingDaf</v>
      </c>
      <c r="O30">
        <f t="shared" si="0"/>
        <v>0</v>
      </c>
      <c r="P30">
        <f t="shared" si="1"/>
        <v>1</v>
      </c>
      <c r="Q30">
        <f t="shared" si="2"/>
        <v>1</v>
      </c>
      <c r="R30">
        <f t="shared" si="3"/>
        <v>2</v>
      </c>
      <c r="S30" s="4">
        <f t="shared" si="4"/>
        <v>0</v>
      </c>
      <c r="T30" s="4">
        <f t="shared" si="5"/>
        <v>0.5</v>
      </c>
    </row>
    <row r="31" spans="1:20" x14ac:dyDescent="0.2">
      <c r="A31" t="s">
        <v>59</v>
      </c>
      <c r="B31" t="s">
        <v>31</v>
      </c>
      <c r="C31">
        <v>0</v>
      </c>
      <c r="D31">
        <v>1</v>
      </c>
      <c r="N31" t="str">
        <v>JumpingJack</v>
      </c>
      <c r="O31">
        <f t="shared" si="0"/>
        <v>2</v>
      </c>
      <c r="P31">
        <f t="shared" si="1"/>
        <v>1</v>
      </c>
      <c r="Q31">
        <f t="shared" si="2"/>
        <v>1</v>
      </c>
      <c r="R31">
        <f t="shared" si="3"/>
        <v>0</v>
      </c>
      <c r="S31" s="4">
        <f t="shared" si="4"/>
        <v>1</v>
      </c>
      <c r="T31" s="4">
        <f t="shared" si="5"/>
        <v>0.5</v>
      </c>
    </row>
    <row r="32" spans="1:20" x14ac:dyDescent="0.2">
      <c r="A32" t="s">
        <v>60</v>
      </c>
      <c r="B32" t="s">
        <v>21</v>
      </c>
      <c r="C32">
        <v>0</v>
      </c>
      <c r="D32">
        <v>0</v>
      </c>
      <c r="N32" t="str">
        <v>Billiards</v>
      </c>
      <c r="O32">
        <f t="shared" si="0"/>
        <v>0</v>
      </c>
      <c r="P32">
        <f t="shared" si="1"/>
        <v>1</v>
      </c>
      <c r="Q32">
        <f t="shared" si="2"/>
        <v>1</v>
      </c>
      <c r="R32">
        <f t="shared" si="3"/>
        <v>2</v>
      </c>
      <c r="S32" s="4">
        <f t="shared" si="4"/>
        <v>0</v>
      </c>
      <c r="T32" s="4">
        <f t="shared" si="5"/>
        <v>0.5</v>
      </c>
    </row>
    <row r="33" spans="1:20" x14ac:dyDescent="0.2">
      <c r="A33" t="s">
        <v>61</v>
      </c>
      <c r="B33" t="s">
        <v>62</v>
      </c>
      <c r="C33">
        <v>0</v>
      </c>
      <c r="D33">
        <v>0</v>
      </c>
      <c r="N33" t="str">
        <v>IceDancing</v>
      </c>
      <c r="O33">
        <f t="shared" si="0"/>
        <v>2</v>
      </c>
      <c r="P33">
        <f t="shared" si="1"/>
        <v>1</v>
      </c>
      <c r="Q33">
        <f t="shared" si="2"/>
        <v>1</v>
      </c>
      <c r="R33">
        <f t="shared" si="3"/>
        <v>0</v>
      </c>
      <c r="S33" s="4">
        <f t="shared" si="4"/>
        <v>1</v>
      </c>
      <c r="T33" s="4">
        <f t="shared" si="5"/>
        <v>0.5</v>
      </c>
    </row>
    <row r="34" spans="1:20" x14ac:dyDescent="0.2">
      <c r="A34" t="s">
        <v>63</v>
      </c>
      <c r="B34" t="s">
        <v>64</v>
      </c>
      <c r="C34">
        <v>0</v>
      </c>
      <c r="D34">
        <v>1</v>
      </c>
      <c r="N34" t="str">
        <v>ThrowDiscuss</v>
      </c>
      <c r="O34">
        <f t="shared" si="0"/>
        <v>1</v>
      </c>
      <c r="P34">
        <f t="shared" si="1"/>
        <v>0</v>
      </c>
      <c r="Q34">
        <f t="shared" si="2"/>
        <v>2</v>
      </c>
      <c r="R34">
        <f t="shared" si="3"/>
        <v>1</v>
      </c>
      <c r="S34" s="4">
        <f t="shared" si="4"/>
        <v>0.5</v>
      </c>
      <c r="T34" s="4">
        <f t="shared" si="5"/>
        <v>1</v>
      </c>
    </row>
    <row r="35" spans="1:20" x14ac:dyDescent="0.2">
      <c r="A35" t="s">
        <v>65</v>
      </c>
      <c r="B35" t="s">
        <v>44</v>
      </c>
      <c r="C35">
        <v>0</v>
      </c>
      <c r="D35">
        <v>1</v>
      </c>
      <c r="N35" t="str">
        <v>TableTennisShot</v>
      </c>
      <c r="O35">
        <f t="shared" si="0"/>
        <v>1</v>
      </c>
      <c r="P35">
        <f t="shared" si="1"/>
        <v>1</v>
      </c>
      <c r="Q35">
        <f t="shared" si="2"/>
        <v>1</v>
      </c>
      <c r="R35">
        <f t="shared" si="3"/>
        <v>1</v>
      </c>
      <c r="S35" s="4">
        <f t="shared" si="4"/>
        <v>0.5</v>
      </c>
      <c r="T35" s="4">
        <f t="shared" si="5"/>
        <v>0.5</v>
      </c>
    </row>
    <row r="36" spans="1:20" x14ac:dyDescent="0.2">
      <c r="A36" t="s">
        <v>66</v>
      </c>
      <c r="B36" t="s">
        <v>67</v>
      </c>
      <c r="C36">
        <v>0</v>
      </c>
      <c r="D36">
        <v>0</v>
      </c>
      <c r="N36" t="str">
        <v>SkateBoarding</v>
      </c>
      <c r="O36">
        <f t="shared" si="0"/>
        <v>0</v>
      </c>
      <c r="P36">
        <f t="shared" si="1"/>
        <v>0</v>
      </c>
      <c r="Q36">
        <f t="shared" si="2"/>
        <v>2</v>
      </c>
      <c r="R36">
        <f t="shared" si="3"/>
        <v>2</v>
      </c>
      <c r="S36" s="4">
        <f t="shared" si="4"/>
        <v>0</v>
      </c>
      <c r="T36" s="4">
        <f t="shared" si="5"/>
        <v>1</v>
      </c>
    </row>
    <row r="37" spans="1:20" x14ac:dyDescent="0.2">
      <c r="A37" t="s">
        <v>68</v>
      </c>
      <c r="B37" t="s">
        <v>69</v>
      </c>
      <c r="C37">
        <v>0</v>
      </c>
      <c r="D37">
        <v>0</v>
      </c>
      <c r="N37" t="str">
        <v>LongJump</v>
      </c>
      <c r="O37">
        <f t="shared" si="0"/>
        <v>1</v>
      </c>
      <c r="P37">
        <f t="shared" si="1"/>
        <v>0</v>
      </c>
      <c r="Q37">
        <f t="shared" si="2"/>
        <v>2</v>
      </c>
      <c r="R37">
        <f t="shared" si="3"/>
        <v>0</v>
      </c>
      <c r="S37" s="4">
        <f t="shared" si="4"/>
        <v>1</v>
      </c>
      <c r="T37" s="4">
        <f t="shared" si="5"/>
        <v>1</v>
      </c>
    </row>
    <row r="38" spans="1:20" x14ac:dyDescent="0.2">
      <c r="A38" t="s">
        <v>70</v>
      </c>
      <c r="B38" t="s">
        <v>64</v>
      </c>
      <c r="C38">
        <v>0</v>
      </c>
      <c r="D38">
        <v>0</v>
      </c>
      <c r="N38" t="str">
        <v>FieldHockeyPenalty</v>
      </c>
      <c r="O38">
        <f t="shared" si="0"/>
        <v>2</v>
      </c>
      <c r="P38">
        <f t="shared" si="1"/>
        <v>2</v>
      </c>
      <c r="Q38">
        <f t="shared" si="2"/>
        <v>0</v>
      </c>
      <c r="R38">
        <f t="shared" si="3"/>
        <v>0</v>
      </c>
      <c r="S38" s="4">
        <f t="shared" si="4"/>
        <v>1</v>
      </c>
      <c r="T38" s="4">
        <f t="shared" si="5"/>
        <v>0</v>
      </c>
    </row>
    <row r="39" spans="1:20" x14ac:dyDescent="0.2">
      <c r="A39" t="s">
        <v>71</v>
      </c>
      <c r="B39" t="s">
        <v>72</v>
      </c>
      <c r="C39">
        <v>1</v>
      </c>
      <c r="D39">
        <v>1</v>
      </c>
      <c r="N39" t="str">
        <v>PlayingCello</v>
      </c>
      <c r="O39">
        <f t="shared" si="0"/>
        <v>1</v>
      </c>
      <c r="P39">
        <f t="shared" si="1"/>
        <v>1</v>
      </c>
      <c r="Q39">
        <f t="shared" si="2"/>
        <v>1</v>
      </c>
      <c r="R39">
        <f t="shared" si="3"/>
        <v>1</v>
      </c>
      <c r="S39" s="4">
        <f t="shared" si="4"/>
        <v>0.5</v>
      </c>
      <c r="T39" s="4">
        <f t="shared" si="5"/>
        <v>0.5</v>
      </c>
    </row>
    <row r="40" spans="1:20" x14ac:dyDescent="0.2">
      <c r="A40" t="s">
        <v>73</v>
      </c>
      <c r="B40" t="s">
        <v>74</v>
      </c>
      <c r="C40">
        <v>1</v>
      </c>
      <c r="D40">
        <v>0</v>
      </c>
      <c r="N40" t="str">
        <v>BreastStroke</v>
      </c>
      <c r="O40">
        <f t="shared" si="0"/>
        <v>2</v>
      </c>
      <c r="P40">
        <f t="shared" si="1"/>
        <v>1</v>
      </c>
      <c r="Q40">
        <f t="shared" si="2"/>
        <v>1</v>
      </c>
      <c r="R40">
        <f t="shared" si="3"/>
        <v>0</v>
      </c>
      <c r="S40" s="4">
        <f t="shared" si="4"/>
        <v>1</v>
      </c>
      <c r="T40" s="4">
        <f t="shared" si="5"/>
        <v>0.5</v>
      </c>
    </row>
    <row r="41" spans="1:20" x14ac:dyDescent="0.2">
      <c r="A41" t="s">
        <v>75</v>
      </c>
      <c r="B41" t="s">
        <v>76</v>
      </c>
      <c r="C41">
        <v>0</v>
      </c>
      <c r="D41">
        <v>0</v>
      </c>
      <c r="N41" t="str">
        <v>Hammering</v>
      </c>
      <c r="O41">
        <f t="shared" si="0"/>
        <v>1</v>
      </c>
      <c r="P41">
        <f t="shared" si="1"/>
        <v>1</v>
      </c>
      <c r="Q41">
        <f t="shared" si="2"/>
        <v>1</v>
      </c>
      <c r="R41">
        <f t="shared" si="3"/>
        <v>1</v>
      </c>
      <c r="S41" s="4">
        <f t="shared" si="4"/>
        <v>0.5</v>
      </c>
      <c r="T41" s="4">
        <f t="shared" si="5"/>
        <v>0.5</v>
      </c>
    </row>
    <row r="42" spans="1:20" x14ac:dyDescent="0.2">
      <c r="A42" t="s">
        <v>77</v>
      </c>
      <c r="B42" t="s">
        <v>78</v>
      </c>
      <c r="C42">
        <v>0</v>
      </c>
      <c r="D42">
        <v>1</v>
      </c>
      <c r="N42" t="str">
        <v>FloorGymnastics</v>
      </c>
      <c r="O42">
        <f t="shared" si="0"/>
        <v>2</v>
      </c>
      <c r="P42">
        <f t="shared" si="1"/>
        <v>2</v>
      </c>
      <c r="Q42">
        <f t="shared" si="2"/>
        <v>0</v>
      </c>
      <c r="R42">
        <f t="shared" si="3"/>
        <v>0</v>
      </c>
      <c r="S42" s="4">
        <f t="shared" si="4"/>
        <v>1</v>
      </c>
      <c r="T42" s="4">
        <f t="shared" si="5"/>
        <v>0</v>
      </c>
    </row>
    <row r="43" spans="1:20" x14ac:dyDescent="0.2">
      <c r="A43" t="s">
        <v>79</v>
      </c>
      <c r="B43" t="s">
        <v>80</v>
      </c>
      <c r="C43">
        <v>1</v>
      </c>
      <c r="D43">
        <v>0</v>
      </c>
      <c r="N43" t="str">
        <v>BaseballPitch</v>
      </c>
      <c r="O43">
        <f t="shared" si="0"/>
        <v>0</v>
      </c>
      <c r="P43">
        <f t="shared" si="1"/>
        <v>0</v>
      </c>
      <c r="Q43">
        <f t="shared" si="2"/>
        <v>2</v>
      </c>
      <c r="R43">
        <f t="shared" si="3"/>
        <v>2</v>
      </c>
      <c r="S43" s="4">
        <f t="shared" si="4"/>
        <v>0</v>
      </c>
      <c r="T43" s="4">
        <f t="shared" si="5"/>
        <v>1</v>
      </c>
    </row>
    <row r="44" spans="1:20" x14ac:dyDescent="0.2">
      <c r="A44" t="s">
        <v>81</v>
      </c>
      <c r="B44" t="s">
        <v>82</v>
      </c>
      <c r="C44">
        <v>1</v>
      </c>
      <c r="D44">
        <v>1</v>
      </c>
      <c r="N44" t="str">
        <v>JumpRope</v>
      </c>
      <c r="O44">
        <f t="shared" si="0"/>
        <v>0</v>
      </c>
      <c r="P44">
        <f t="shared" si="1"/>
        <v>1</v>
      </c>
      <c r="Q44">
        <f t="shared" si="2"/>
        <v>1</v>
      </c>
      <c r="R44">
        <f t="shared" si="3"/>
        <v>2</v>
      </c>
      <c r="S44" s="4">
        <f t="shared" si="4"/>
        <v>0</v>
      </c>
      <c r="T44" s="4">
        <f t="shared" si="5"/>
        <v>0.5</v>
      </c>
    </row>
    <row r="45" spans="1:20" x14ac:dyDescent="0.2">
      <c r="A45" t="s">
        <v>83</v>
      </c>
      <c r="B45" t="s">
        <v>84</v>
      </c>
      <c r="C45">
        <v>1</v>
      </c>
      <c r="D45">
        <v>1</v>
      </c>
      <c r="N45" t="str">
        <v>Drumming</v>
      </c>
      <c r="O45">
        <f t="shared" si="0"/>
        <v>0</v>
      </c>
      <c r="P45">
        <f t="shared" si="1"/>
        <v>2</v>
      </c>
      <c r="Q45">
        <f t="shared" si="2"/>
        <v>0</v>
      </c>
      <c r="R45">
        <f t="shared" si="3"/>
        <v>2</v>
      </c>
      <c r="S45" s="4">
        <f t="shared" si="4"/>
        <v>0</v>
      </c>
      <c r="T45" s="4">
        <f t="shared" si="5"/>
        <v>0</v>
      </c>
    </row>
    <row r="46" spans="1:20" x14ac:dyDescent="0.2">
      <c r="A46" t="s">
        <v>85</v>
      </c>
      <c r="B46" t="s">
        <v>86</v>
      </c>
      <c r="C46">
        <v>0</v>
      </c>
      <c r="D46">
        <v>1</v>
      </c>
      <c r="N46" t="str">
        <v>Fencing</v>
      </c>
      <c r="O46">
        <f t="shared" si="0"/>
        <v>2</v>
      </c>
      <c r="P46">
        <f t="shared" si="1"/>
        <v>1</v>
      </c>
      <c r="Q46">
        <f t="shared" si="2"/>
        <v>1</v>
      </c>
      <c r="R46">
        <f t="shared" si="3"/>
        <v>0</v>
      </c>
      <c r="S46" s="4">
        <f t="shared" si="4"/>
        <v>1</v>
      </c>
      <c r="T46" s="4">
        <f t="shared" si="5"/>
        <v>0.5</v>
      </c>
    </row>
    <row r="47" spans="1:20" x14ac:dyDescent="0.2">
      <c r="A47" t="s">
        <v>87</v>
      </c>
      <c r="B47" t="s">
        <v>58</v>
      </c>
      <c r="C47">
        <v>1</v>
      </c>
      <c r="D47">
        <v>0</v>
      </c>
      <c r="N47" t="str">
        <v>Lunges</v>
      </c>
      <c r="O47">
        <f t="shared" si="0"/>
        <v>0</v>
      </c>
      <c r="P47">
        <f t="shared" si="1"/>
        <v>0</v>
      </c>
      <c r="Q47">
        <f t="shared" si="2"/>
        <v>2</v>
      </c>
      <c r="R47">
        <f t="shared" si="3"/>
        <v>2</v>
      </c>
      <c r="S47" s="4">
        <f t="shared" si="4"/>
        <v>0</v>
      </c>
      <c r="T47" s="4">
        <f t="shared" si="5"/>
        <v>1</v>
      </c>
    </row>
    <row r="48" spans="1:20" x14ac:dyDescent="0.2">
      <c r="A48" t="s">
        <v>88</v>
      </c>
      <c r="B48" t="s">
        <v>89</v>
      </c>
      <c r="C48">
        <v>0</v>
      </c>
      <c r="D48">
        <v>0</v>
      </c>
      <c r="N48" t="str">
        <v>Swing</v>
      </c>
      <c r="O48">
        <f t="shared" si="0"/>
        <v>1</v>
      </c>
      <c r="P48">
        <f t="shared" si="1"/>
        <v>2</v>
      </c>
      <c r="Q48">
        <f t="shared" si="2"/>
        <v>0</v>
      </c>
      <c r="R48">
        <f t="shared" si="3"/>
        <v>1</v>
      </c>
      <c r="S48" s="4">
        <f t="shared" si="4"/>
        <v>0.5</v>
      </c>
      <c r="T48" s="4">
        <f t="shared" si="5"/>
        <v>0</v>
      </c>
    </row>
    <row r="49" spans="1:20" x14ac:dyDescent="0.2">
      <c r="A49" t="s">
        <v>90</v>
      </c>
      <c r="B49" t="s">
        <v>36</v>
      </c>
      <c r="C49">
        <v>0</v>
      </c>
      <c r="D49">
        <v>0</v>
      </c>
      <c r="N49" t="str">
        <v>HorseRiding</v>
      </c>
      <c r="O49">
        <f t="shared" si="0"/>
        <v>1</v>
      </c>
      <c r="P49">
        <f t="shared" si="1"/>
        <v>1</v>
      </c>
      <c r="Q49">
        <f t="shared" si="2"/>
        <v>1</v>
      </c>
      <c r="R49">
        <f t="shared" si="3"/>
        <v>1</v>
      </c>
      <c r="S49" s="4">
        <f t="shared" si="4"/>
        <v>0.5</v>
      </c>
      <c r="T49" s="4">
        <f t="shared" si="5"/>
        <v>0.5</v>
      </c>
    </row>
    <row r="50" spans="1:20" x14ac:dyDescent="0.2">
      <c r="A50" t="s">
        <v>91</v>
      </c>
      <c r="B50" t="s">
        <v>5</v>
      </c>
      <c r="C50">
        <v>0</v>
      </c>
      <c r="D50">
        <v>1</v>
      </c>
      <c r="N50" t="str">
        <v>TennisSwing</v>
      </c>
      <c r="O50">
        <f t="shared" si="0"/>
        <v>1</v>
      </c>
      <c r="P50">
        <f t="shared" si="1"/>
        <v>2</v>
      </c>
      <c r="Q50">
        <f t="shared" si="2"/>
        <v>0</v>
      </c>
      <c r="R50">
        <f t="shared" si="3"/>
        <v>1</v>
      </c>
      <c r="S50" s="4">
        <f t="shared" si="4"/>
        <v>0.5</v>
      </c>
      <c r="T50" s="4">
        <f t="shared" si="5"/>
        <v>0</v>
      </c>
    </row>
    <row r="51" spans="1:20" x14ac:dyDescent="0.2">
      <c r="A51" t="s">
        <v>92</v>
      </c>
      <c r="B51" t="s">
        <v>21</v>
      </c>
      <c r="C51">
        <v>0</v>
      </c>
      <c r="D51">
        <v>0</v>
      </c>
      <c r="N51" t="str">
        <v>Skijet</v>
      </c>
      <c r="O51">
        <f t="shared" si="0"/>
        <v>1</v>
      </c>
      <c r="P51">
        <f t="shared" si="1"/>
        <v>0</v>
      </c>
      <c r="Q51">
        <f t="shared" si="2"/>
        <v>2</v>
      </c>
      <c r="R51">
        <f t="shared" si="3"/>
        <v>1</v>
      </c>
      <c r="S51" s="4">
        <f t="shared" si="4"/>
        <v>0.5</v>
      </c>
      <c r="T51" s="4">
        <f t="shared" si="5"/>
        <v>1</v>
      </c>
    </row>
    <row r="52" spans="1:20" x14ac:dyDescent="0.2">
      <c r="A52" t="s">
        <v>93</v>
      </c>
      <c r="B52" t="s">
        <v>94</v>
      </c>
      <c r="C52">
        <v>1</v>
      </c>
      <c r="D52">
        <v>0</v>
      </c>
      <c r="N52" t="str">
        <v>MilitaryParade</v>
      </c>
      <c r="O52">
        <f t="shared" si="0"/>
        <v>2</v>
      </c>
      <c r="P52">
        <f t="shared" si="1"/>
        <v>2</v>
      </c>
      <c r="Q52">
        <f t="shared" si="2"/>
        <v>0</v>
      </c>
      <c r="R52">
        <f t="shared" si="3"/>
        <v>0</v>
      </c>
      <c r="S52" s="4">
        <f t="shared" si="4"/>
        <v>1</v>
      </c>
      <c r="T52" s="4">
        <f t="shared" si="5"/>
        <v>0</v>
      </c>
    </row>
    <row r="53" spans="1:20" x14ac:dyDescent="0.2">
      <c r="A53" t="s">
        <v>95</v>
      </c>
      <c r="B53" t="s">
        <v>96</v>
      </c>
      <c r="C53">
        <v>1</v>
      </c>
      <c r="D53">
        <v>0</v>
      </c>
      <c r="N53" t="str">
        <v>PlayingFlute</v>
      </c>
      <c r="O53">
        <f t="shared" si="0"/>
        <v>0</v>
      </c>
      <c r="P53">
        <f t="shared" si="1"/>
        <v>1</v>
      </c>
      <c r="Q53">
        <f t="shared" si="2"/>
        <v>1</v>
      </c>
      <c r="R53">
        <f t="shared" si="3"/>
        <v>2</v>
      </c>
      <c r="S53" s="4">
        <f t="shared" si="4"/>
        <v>0</v>
      </c>
      <c r="T53" s="4">
        <f t="shared" si="5"/>
        <v>0.5</v>
      </c>
    </row>
    <row r="54" spans="1:20" x14ac:dyDescent="0.2">
      <c r="A54" t="s">
        <v>97</v>
      </c>
      <c r="B54" t="s">
        <v>76</v>
      </c>
      <c r="C54">
        <v>1</v>
      </c>
      <c r="D54">
        <v>1</v>
      </c>
      <c r="N54" t="str">
        <v>BasketballDunk</v>
      </c>
      <c r="O54">
        <f t="shared" si="0"/>
        <v>2</v>
      </c>
      <c r="P54">
        <f t="shared" si="1"/>
        <v>2</v>
      </c>
      <c r="Q54">
        <f t="shared" si="2"/>
        <v>0</v>
      </c>
      <c r="R54">
        <f t="shared" si="3"/>
        <v>0</v>
      </c>
      <c r="S54" s="4">
        <f t="shared" si="4"/>
        <v>1</v>
      </c>
      <c r="T54" s="4">
        <f t="shared" si="5"/>
        <v>0</v>
      </c>
    </row>
    <row r="55" spans="1:20" x14ac:dyDescent="0.2">
      <c r="A55" t="s">
        <v>98</v>
      </c>
      <c r="B55" t="s">
        <v>99</v>
      </c>
      <c r="C55">
        <v>0</v>
      </c>
      <c r="D55">
        <v>1</v>
      </c>
      <c r="N55" t="str">
        <v>PlayingTabla</v>
      </c>
      <c r="O55">
        <f t="shared" si="0"/>
        <v>0</v>
      </c>
      <c r="P55">
        <f t="shared" si="1"/>
        <v>0</v>
      </c>
      <c r="Q55">
        <f t="shared" si="2"/>
        <v>2</v>
      </c>
      <c r="R55">
        <f t="shared" si="3"/>
        <v>2</v>
      </c>
      <c r="S55" s="4">
        <f t="shared" si="4"/>
        <v>0</v>
      </c>
      <c r="T55" s="4">
        <f t="shared" si="5"/>
        <v>1</v>
      </c>
    </row>
    <row r="56" spans="1:20" x14ac:dyDescent="0.2">
      <c r="A56" t="s">
        <v>100</v>
      </c>
      <c r="B56" t="s">
        <v>84</v>
      </c>
      <c r="C56">
        <v>0</v>
      </c>
      <c r="D56">
        <v>0</v>
      </c>
      <c r="N56" t="str">
        <v>Archery</v>
      </c>
      <c r="O56">
        <f t="shared" si="0"/>
        <v>0</v>
      </c>
      <c r="P56">
        <f t="shared" si="1"/>
        <v>2</v>
      </c>
      <c r="Q56">
        <f t="shared" si="2"/>
        <v>0</v>
      </c>
      <c r="R56">
        <f t="shared" si="3"/>
        <v>2</v>
      </c>
      <c r="S56" s="4">
        <f t="shared" si="4"/>
        <v>0</v>
      </c>
      <c r="T56" s="4">
        <f t="shared" si="5"/>
        <v>0</v>
      </c>
    </row>
    <row r="57" spans="1:20" x14ac:dyDescent="0.2">
      <c r="A57" t="s">
        <v>101</v>
      </c>
      <c r="B57" t="s">
        <v>31</v>
      </c>
      <c r="C57">
        <v>1</v>
      </c>
      <c r="D57">
        <v>1</v>
      </c>
      <c r="N57" t="str">
        <v>HulaHoop</v>
      </c>
      <c r="O57">
        <f t="shared" si="0"/>
        <v>2</v>
      </c>
      <c r="P57">
        <f t="shared" si="1"/>
        <v>0</v>
      </c>
      <c r="Q57">
        <f t="shared" si="2"/>
        <v>2</v>
      </c>
      <c r="R57">
        <f t="shared" si="3"/>
        <v>0</v>
      </c>
      <c r="S57" s="4">
        <f t="shared" si="4"/>
        <v>1</v>
      </c>
      <c r="T57" s="4">
        <f t="shared" si="5"/>
        <v>1</v>
      </c>
    </row>
    <row r="58" spans="1:20" x14ac:dyDescent="0.2">
      <c r="A58" t="s">
        <v>102</v>
      </c>
      <c r="B58" t="s">
        <v>103</v>
      </c>
      <c r="C58">
        <v>1</v>
      </c>
      <c r="D58">
        <v>0</v>
      </c>
      <c r="N58" t="str">
        <v>PizzaTossing</v>
      </c>
      <c r="O58">
        <f t="shared" si="0"/>
        <v>2</v>
      </c>
      <c r="P58">
        <f t="shared" si="1"/>
        <v>1</v>
      </c>
      <c r="Q58">
        <f t="shared" si="2"/>
        <v>1</v>
      </c>
      <c r="R58">
        <f t="shared" si="3"/>
        <v>0</v>
      </c>
      <c r="S58" s="4">
        <f t="shared" si="4"/>
        <v>1</v>
      </c>
      <c r="T58" s="4">
        <f t="shared" si="5"/>
        <v>0.5</v>
      </c>
    </row>
    <row r="59" spans="1:20" x14ac:dyDescent="0.2">
      <c r="A59" t="s">
        <v>104</v>
      </c>
      <c r="B59" t="s">
        <v>105</v>
      </c>
      <c r="C59">
        <v>1</v>
      </c>
      <c r="D59">
        <v>0</v>
      </c>
      <c r="N59" t="str">
        <v>CuttingInKitchen</v>
      </c>
      <c r="O59">
        <f t="shared" si="0"/>
        <v>1</v>
      </c>
      <c r="P59">
        <f t="shared" si="1"/>
        <v>2</v>
      </c>
      <c r="Q59">
        <f t="shared" si="2"/>
        <v>0</v>
      </c>
      <c r="R59">
        <f t="shared" si="3"/>
        <v>1</v>
      </c>
      <c r="S59" s="4">
        <f t="shared" si="4"/>
        <v>0.5</v>
      </c>
      <c r="T59" s="4">
        <f t="shared" si="5"/>
        <v>0</v>
      </c>
    </row>
    <row r="60" spans="1:20" x14ac:dyDescent="0.2">
      <c r="A60" t="s">
        <v>106</v>
      </c>
      <c r="B60" t="s">
        <v>107</v>
      </c>
      <c r="C60">
        <v>0</v>
      </c>
      <c r="D60">
        <v>1</v>
      </c>
      <c r="N60" t="str">
        <v>TrampolineJumping</v>
      </c>
      <c r="O60">
        <f t="shared" si="0"/>
        <v>1</v>
      </c>
      <c r="P60">
        <f t="shared" si="1"/>
        <v>2</v>
      </c>
      <c r="Q60">
        <f t="shared" si="2"/>
        <v>0</v>
      </c>
      <c r="R60">
        <f t="shared" si="3"/>
        <v>1</v>
      </c>
      <c r="S60" s="4">
        <f t="shared" si="4"/>
        <v>0.5</v>
      </c>
      <c r="T60" s="4">
        <f t="shared" si="5"/>
        <v>0</v>
      </c>
    </row>
    <row r="61" spans="1:20" x14ac:dyDescent="0.2">
      <c r="A61" t="s">
        <v>108</v>
      </c>
      <c r="B61" t="s">
        <v>109</v>
      </c>
      <c r="C61">
        <v>1</v>
      </c>
      <c r="D61">
        <v>1</v>
      </c>
      <c r="N61" t="str">
        <v>Diving</v>
      </c>
      <c r="O61">
        <f t="shared" si="0"/>
        <v>2</v>
      </c>
      <c r="P61">
        <f t="shared" si="1"/>
        <v>2</v>
      </c>
      <c r="Q61">
        <f t="shared" si="2"/>
        <v>0</v>
      </c>
      <c r="R61">
        <f t="shared" si="3"/>
        <v>0</v>
      </c>
      <c r="S61" s="4">
        <f t="shared" si="4"/>
        <v>1</v>
      </c>
      <c r="T61" s="4">
        <f t="shared" si="5"/>
        <v>0</v>
      </c>
    </row>
    <row r="62" spans="1:20" x14ac:dyDescent="0.2">
      <c r="A62" t="s">
        <v>110</v>
      </c>
      <c r="B62" t="s">
        <v>109</v>
      </c>
      <c r="C62">
        <v>0</v>
      </c>
      <c r="D62">
        <v>1</v>
      </c>
      <c r="N62" t="str">
        <v>Kayaking</v>
      </c>
      <c r="O62">
        <f t="shared" si="0"/>
        <v>1</v>
      </c>
      <c r="P62">
        <f t="shared" si="1"/>
        <v>1</v>
      </c>
      <c r="Q62">
        <f t="shared" si="2"/>
        <v>1</v>
      </c>
      <c r="R62">
        <f t="shared" si="3"/>
        <v>1</v>
      </c>
      <c r="S62" s="4">
        <f t="shared" si="4"/>
        <v>0.5</v>
      </c>
      <c r="T62" s="4">
        <f t="shared" si="5"/>
        <v>0.5</v>
      </c>
    </row>
    <row r="63" spans="1:20" x14ac:dyDescent="0.2">
      <c r="A63" t="s">
        <v>111</v>
      </c>
      <c r="B63" t="s">
        <v>112</v>
      </c>
      <c r="C63">
        <v>1</v>
      </c>
      <c r="D63">
        <v>1</v>
      </c>
      <c r="N63" t="str">
        <v>WritingOnBoard</v>
      </c>
      <c r="O63">
        <f t="shared" si="0"/>
        <v>2</v>
      </c>
      <c r="P63">
        <f t="shared" si="1"/>
        <v>2</v>
      </c>
      <c r="Q63">
        <f t="shared" si="2"/>
        <v>0</v>
      </c>
      <c r="R63">
        <f t="shared" si="3"/>
        <v>0</v>
      </c>
      <c r="S63" s="4">
        <f t="shared" si="4"/>
        <v>1</v>
      </c>
      <c r="T63" s="4">
        <f t="shared" si="5"/>
        <v>0</v>
      </c>
    </row>
    <row r="64" spans="1:20" x14ac:dyDescent="0.2">
      <c r="A64" t="s">
        <v>113</v>
      </c>
      <c r="B64" t="s">
        <v>114</v>
      </c>
      <c r="C64">
        <v>1</v>
      </c>
      <c r="D64">
        <v>1</v>
      </c>
      <c r="N64" t="str">
        <v>UnevenBars</v>
      </c>
      <c r="O64">
        <f t="shared" si="0"/>
        <v>1</v>
      </c>
      <c r="P64">
        <f t="shared" si="1"/>
        <v>0</v>
      </c>
      <c r="Q64">
        <f t="shared" si="2"/>
        <v>2</v>
      </c>
      <c r="R64">
        <f t="shared" si="3"/>
        <v>1</v>
      </c>
      <c r="S64" s="4">
        <f t="shared" si="4"/>
        <v>0.5</v>
      </c>
      <c r="T64" s="4">
        <f t="shared" si="5"/>
        <v>1</v>
      </c>
    </row>
    <row r="65" spans="1:20" x14ac:dyDescent="0.2">
      <c r="A65" t="s">
        <v>115</v>
      </c>
      <c r="B65" t="s">
        <v>36</v>
      </c>
      <c r="C65">
        <v>1</v>
      </c>
      <c r="D65">
        <v>1</v>
      </c>
      <c r="N65" t="str">
        <v>PlayingDhol</v>
      </c>
      <c r="O65">
        <f t="shared" si="0"/>
        <v>1</v>
      </c>
      <c r="P65">
        <f t="shared" si="1"/>
        <v>1</v>
      </c>
      <c r="Q65">
        <f t="shared" si="2"/>
        <v>1</v>
      </c>
      <c r="R65">
        <f t="shared" si="3"/>
        <v>1</v>
      </c>
      <c r="S65" s="4">
        <f t="shared" si="4"/>
        <v>0.5</v>
      </c>
      <c r="T65" s="4">
        <f t="shared" si="5"/>
        <v>0.5</v>
      </c>
    </row>
    <row r="66" spans="1:20" x14ac:dyDescent="0.2">
      <c r="A66" t="s">
        <v>116</v>
      </c>
      <c r="B66" t="s">
        <v>117</v>
      </c>
      <c r="C66">
        <v>1</v>
      </c>
      <c r="D66">
        <v>0</v>
      </c>
      <c r="N66" t="str">
        <v>WalkingWithDog</v>
      </c>
      <c r="O66">
        <f t="shared" si="0"/>
        <v>1</v>
      </c>
      <c r="P66">
        <f t="shared" si="1"/>
        <v>1</v>
      </c>
      <c r="Q66">
        <f t="shared" si="2"/>
        <v>1</v>
      </c>
      <c r="R66">
        <f t="shared" si="3"/>
        <v>1</v>
      </c>
      <c r="S66" s="4">
        <f t="shared" si="4"/>
        <v>0.5</v>
      </c>
      <c r="T66" s="4">
        <f t="shared" si="5"/>
        <v>0.5</v>
      </c>
    </row>
    <row r="67" spans="1:20" x14ac:dyDescent="0.2">
      <c r="A67" t="s">
        <v>118</v>
      </c>
      <c r="B67" t="s">
        <v>7</v>
      </c>
      <c r="C67">
        <v>1</v>
      </c>
      <c r="D67">
        <v>1</v>
      </c>
      <c r="N67" t="str">
        <v>CleanAndJerk</v>
      </c>
      <c r="O67">
        <f t="shared" si="0"/>
        <v>2</v>
      </c>
      <c r="P67">
        <f t="shared" si="1"/>
        <v>1</v>
      </c>
      <c r="Q67">
        <f t="shared" si="2"/>
        <v>1</v>
      </c>
      <c r="R67">
        <f t="shared" si="3"/>
        <v>0</v>
      </c>
      <c r="S67" s="4">
        <f t="shared" si="4"/>
        <v>1</v>
      </c>
      <c r="T67" s="4">
        <f t="shared" si="5"/>
        <v>0.5</v>
      </c>
    </row>
    <row r="68" spans="1:20" x14ac:dyDescent="0.2">
      <c r="A68" t="s">
        <v>119</v>
      </c>
      <c r="B68" t="s">
        <v>120</v>
      </c>
      <c r="C68">
        <v>1</v>
      </c>
      <c r="D68">
        <v>1</v>
      </c>
      <c r="N68" t="str">
        <v>Rafting</v>
      </c>
      <c r="O68">
        <f t="shared" si="0"/>
        <v>2</v>
      </c>
      <c r="P68">
        <f t="shared" si="1"/>
        <v>1</v>
      </c>
      <c r="Q68">
        <f t="shared" si="2"/>
        <v>1</v>
      </c>
      <c r="R68">
        <f t="shared" si="3"/>
        <v>0</v>
      </c>
      <c r="S68" s="4">
        <f t="shared" si="4"/>
        <v>1</v>
      </c>
      <c r="T68" s="4">
        <f t="shared" si="5"/>
        <v>0.5</v>
      </c>
    </row>
    <row r="69" spans="1:20" x14ac:dyDescent="0.2">
      <c r="A69" t="s">
        <v>121</v>
      </c>
      <c r="B69" t="s">
        <v>122</v>
      </c>
      <c r="C69">
        <v>0</v>
      </c>
      <c r="D69">
        <v>0</v>
      </c>
      <c r="N69" t="str">
        <v>HandstandPushups</v>
      </c>
      <c r="O69">
        <f t="shared" si="0"/>
        <v>2</v>
      </c>
      <c r="P69">
        <f t="shared" si="1"/>
        <v>0</v>
      </c>
      <c r="Q69">
        <f t="shared" si="2"/>
        <v>2</v>
      </c>
      <c r="R69">
        <f t="shared" si="3"/>
        <v>0</v>
      </c>
      <c r="S69" s="4">
        <f t="shared" si="4"/>
        <v>1</v>
      </c>
      <c r="T69" s="4">
        <f t="shared" si="5"/>
        <v>1</v>
      </c>
    </row>
    <row r="70" spans="1:20" x14ac:dyDescent="0.2">
      <c r="A70" t="s">
        <v>123</v>
      </c>
      <c r="B70" t="s">
        <v>124</v>
      </c>
      <c r="C70">
        <v>0</v>
      </c>
      <c r="D70">
        <v>1</v>
      </c>
      <c r="N70" t="str">
        <v>BoxingPunchingBag</v>
      </c>
      <c r="O70">
        <f t="shared" si="0"/>
        <v>1</v>
      </c>
      <c r="P70">
        <f t="shared" si="1"/>
        <v>1</v>
      </c>
      <c r="Q70">
        <f t="shared" si="2"/>
        <v>1</v>
      </c>
      <c r="R70">
        <f t="shared" si="3"/>
        <v>1</v>
      </c>
      <c r="S70" s="4">
        <f t="shared" si="4"/>
        <v>0.5</v>
      </c>
      <c r="T70" s="4">
        <f t="shared" si="5"/>
        <v>0.5</v>
      </c>
    </row>
    <row r="71" spans="1:20" x14ac:dyDescent="0.2">
      <c r="A71" t="s">
        <v>125</v>
      </c>
      <c r="B71" t="s">
        <v>126</v>
      </c>
      <c r="C71">
        <v>0</v>
      </c>
      <c r="D71">
        <v>0</v>
      </c>
      <c r="N71" t="str">
        <v>Mixing</v>
      </c>
      <c r="O71">
        <f t="shared" ref="O71:O101" si="6">COUNTIFS($B$2:$B$389,N71, $C$2:$C$389, 1, $D$2:$D$389, 1)</f>
        <v>2</v>
      </c>
      <c r="P71">
        <f t="shared" ref="P71:P101" si="7">COUNTIFS($B$2:$B$389,N71, $C$2:$C$389, 0, $D$2:$D$389, 1)</f>
        <v>2</v>
      </c>
      <c r="Q71">
        <f t="shared" ref="Q71:Q101" si="8">COUNTIFS($B$2:$B$389,N71, $C$2:$C$389, 0, $D$2:$D$389, 0)</f>
        <v>0</v>
      </c>
      <c r="R71">
        <f t="shared" ref="R71:R101" si="9">COUNTIFS($B$2:$B$389,N71, $C$2:$C$389, 1, $D$2:$D$389, 0)</f>
        <v>0</v>
      </c>
      <c r="S71" s="4">
        <f t="shared" ref="S71:S101" si="10">O71/(R71+O71)</f>
        <v>1</v>
      </c>
      <c r="T71" s="4">
        <f t="shared" ref="T71:T101" si="11">Q71/(Q71+P71)</f>
        <v>0</v>
      </c>
    </row>
    <row r="72" spans="1:20" x14ac:dyDescent="0.2">
      <c r="A72" t="s">
        <v>127</v>
      </c>
      <c r="B72" t="s">
        <v>128</v>
      </c>
      <c r="C72">
        <v>0</v>
      </c>
      <c r="D72">
        <v>1</v>
      </c>
      <c r="N72" t="str">
        <v>PlayingGuitar</v>
      </c>
      <c r="O72">
        <f t="shared" si="6"/>
        <v>1</v>
      </c>
      <c r="P72">
        <f t="shared" si="7"/>
        <v>1</v>
      </c>
      <c r="Q72">
        <f t="shared" si="8"/>
        <v>1</v>
      </c>
      <c r="R72">
        <f t="shared" si="9"/>
        <v>1</v>
      </c>
      <c r="S72" s="4">
        <f t="shared" si="10"/>
        <v>0.5</v>
      </c>
      <c r="T72" s="4">
        <f t="shared" si="11"/>
        <v>0.5</v>
      </c>
    </row>
    <row r="73" spans="1:20" x14ac:dyDescent="0.2">
      <c r="A73" t="s">
        <v>129</v>
      </c>
      <c r="B73" t="s">
        <v>130</v>
      </c>
      <c r="C73">
        <v>0</v>
      </c>
      <c r="D73">
        <v>1</v>
      </c>
      <c r="N73" t="str">
        <v>Biking</v>
      </c>
      <c r="O73">
        <f t="shared" si="6"/>
        <v>1</v>
      </c>
      <c r="P73">
        <f t="shared" si="7"/>
        <v>1</v>
      </c>
      <c r="Q73">
        <f t="shared" si="8"/>
        <v>1</v>
      </c>
      <c r="R73">
        <f t="shared" si="9"/>
        <v>1</v>
      </c>
      <c r="S73" s="4">
        <f t="shared" si="10"/>
        <v>0.5</v>
      </c>
      <c r="T73" s="4">
        <f t="shared" si="11"/>
        <v>0.5</v>
      </c>
    </row>
    <row r="74" spans="1:20" x14ac:dyDescent="0.2">
      <c r="A74" t="s">
        <v>131</v>
      </c>
      <c r="B74" t="s">
        <v>132</v>
      </c>
      <c r="C74">
        <v>0</v>
      </c>
      <c r="D74">
        <v>1</v>
      </c>
      <c r="N74" t="str">
        <v>Typing</v>
      </c>
      <c r="O74">
        <f t="shared" si="6"/>
        <v>1</v>
      </c>
      <c r="P74">
        <f t="shared" si="7"/>
        <v>1</v>
      </c>
      <c r="Q74">
        <f t="shared" si="8"/>
        <v>1</v>
      </c>
      <c r="R74">
        <f t="shared" si="9"/>
        <v>1</v>
      </c>
      <c r="S74" s="4">
        <f t="shared" si="10"/>
        <v>0.5</v>
      </c>
      <c r="T74" s="4">
        <f t="shared" si="11"/>
        <v>0.5</v>
      </c>
    </row>
    <row r="75" spans="1:20" x14ac:dyDescent="0.2">
      <c r="A75" t="s">
        <v>133</v>
      </c>
      <c r="B75" t="s">
        <v>64</v>
      </c>
      <c r="C75">
        <v>1</v>
      </c>
      <c r="D75">
        <v>0</v>
      </c>
      <c r="N75" t="str">
        <v>Skiing</v>
      </c>
      <c r="O75">
        <f t="shared" si="6"/>
        <v>2</v>
      </c>
      <c r="P75">
        <f t="shared" si="7"/>
        <v>1</v>
      </c>
      <c r="Q75">
        <f t="shared" si="8"/>
        <v>1</v>
      </c>
      <c r="R75">
        <f t="shared" si="9"/>
        <v>0</v>
      </c>
      <c r="S75" s="4">
        <f t="shared" si="10"/>
        <v>1</v>
      </c>
      <c r="T75" s="4">
        <f t="shared" si="11"/>
        <v>0.5</v>
      </c>
    </row>
    <row r="76" spans="1:20" x14ac:dyDescent="0.2">
      <c r="A76" t="s">
        <v>134</v>
      </c>
      <c r="B76" t="s">
        <v>135</v>
      </c>
      <c r="C76">
        <v>1</v>
      </c>
      <c r="D76">
        <v>1</v>
      </c>
      <c r="N76" t="str">
        <v>BlowDryHair</v>
      </c>
      <c r="O76">
        <f t="shared" si="6"/>
        <v>1</v>
      </c>
      <c r="P76">
        <f t="shared" si="7"/>
        <v>1</v>
      </c>
      <c r="Q76">
        <f t="shared" si="8"/>
        <v>1</v>
      </c>
      <c r="R76">
        <f t="shared" si="9"/>
        <v>1</v>
      </c>
      <c r="S76" s="4">
        <f t="shared" si="10"/>
        <v>0.5</v>
      </c>
      <c r="T76" s="4">
        <f t="shared" si="11"/>
        <v>0.5</v>
      </c>
    </row>
    <row r="77" spans="1:20" x14ac:dyDescent="0.2">
      <c r="A77" t="s">
        <v>136</v>
      </c>
      <c r="B77" t="s">
        <v>27</v>
      </c>
      <c r="C77">
        <v>1</v>
      </c>
      <c r="D77">
        <v>1</v>
      </c>
      <c r="N77" t="str">
        <v>CricketShot</v>
      </c>
      <c r="O77">
        <f t="shared" si="6"/>
        <v>1</v>
      </c>
      <c r="P77">
        <f t="shared" si="7"/>
        <v>1</v>
      </c>
      <c r="Q77">
        <f t="shared" si="8"/>
        <v>1</v>
      </c>
      <c r="R77">
        <f t="shared" si="9"/>
        <v>1</v>
      </c>
      <c r="S77" s="4">
        <f t="shared" si="10"/>
        <v>0.5</v>
      </c>
      <c r="T77" s="4">
        <f t="shared" si="11"/>
        <v>0.5</v>
      </c>
    </row>
    <row r="78" spans="1:20" x14ac:dyDescent="0.2">
      <c r="A78" t="s">
        <v>137</v>
      </c>
      <c r="B78" t="s">
        <v>5</v>
      </c>
      <c r="C78">
        <v>1</v>
      </c>
      <c r="D78">
        <v>1</v>
      </c>
      <c r="N78" t="str">
        <v>SalsaSpin</v>
      </c>
      <c r="O78">
        <f t="shared" si="6"/>
        <v>1</v>
      </c>
      <c r="P78">
        <f t="shared" si="7"/>
        <v>1</v>
      </c>
      <c r="Q78">
        <f t="shared" si="8"/>
        <v>1</v>
      </c>
      <c r="R78">
        <f t="shared" si="9"/>
        <v>1</v>
      </c>
      <c r="S78" s="4">
        <f t="shared" si="10"/>
        <v>0.5</v>
      </c>
      <c r="T78" s="4">
        <f t="shared" si="11"/>
        <v>0.5</v>
      </c>
    </row>
    <row r="79" spans="1:20" x14ac:dyDescent="0.2">
      <c r="A79" t="s">
        <v>138</v>
      </c>
      <c r="B79" t="s">
        <v>62</v>
      </c>
      <c r="C79">
        <v>1</v>
      </c>
      <c r="D79">
        <v>1</v>
      </c>
      <c r="N79" t="str">
        <v>TaiChi</v>
      </c>
      <c r="O79">
        <f t="shared" si="6"/>
        <v>0</v>
      </c>
      <c r="P79">
        <f t="shared" si="7"/>
        <v>1</v>
      </c>
      <c r="Q79">
        <f t="shared" si="8"/>
        <v>1</v>
      </c>
      <c r="R79">
        <f t="shared" si="9"/>
        <v>2</v>
      </c>
      <c r="S79" s="4">
        <f t="shared" si="10"/>
        <v>0</v>
      </c>
      <c r="T79" s="4">
        <f t="shared" si="11"/>
        <v>0.5</v>
      </c>
    </row>
    <row r="80" spans="1:20" x14ac:dyDescent="0.2">
      <c r="A80" t="s">
        <v>139</v>
      </c>
      <c r="B80" t="s">
        <v>132</v>
      </c>
      <c r="C80">
        <v>0</v>
      </c>
      <c r="D80">
        <v>1</v>
      </c>
      <c r="N80" t="str">
        <v>RopeClimbing</v>
      </c>
      <c r="O80">
        <f t="shared" si="6"/>
        <v>2</v>
      </c>
      <c r="P80">
        <f t="shared" si="7"/>
        <v>1</v>
      </c>
      <c r="Q80">
        <f t="shared" si="8"/>
        <v>1</v>
      </c>
      <c r="R80">
        <f t="shared" si="9"/>
        <v>0</v>
      </c>
      <c r="S80" s="4">
        <f t="shared" si="10"/>
        <v>1</v>
      </c>
      <c r="T80" s="4">
        <f t="shared" si="11"/>
        <v>0.5</v>
      </c>
    </row>
    <row r="81" spans="1:20" x14ac:dyDescent="0.2">
      <c r="A81" t="s">
        <v>140</v>
      </c>
      <c r="B81" t="s">
        <v>141</v>
      </c>
      <c r="C81">
        <v>0</v>
      </c>
      <c r="D81">
        <v>0</v>
      </c>
      <c r="N81" t="str">
        <v>Knitting</v>
      </c>
      <c r="O81">
        <f t="shared" si="6"/>
        <v>0</v>
      </c>
      <c r="P81">
        <f t="shared" si="7"/>
        <v>1</v>
      </c>
      <c r="Q81">
        <f t="shared" si="8"/>
        <v>1</v>
      </c>
      <c r="R81">
        <f t="shared" si="9"/>
        <v>2</v>
      </c>
      <c r="S81" s="4">
        <f t="shared" si="10"/>
        <v>0</v>
      </c>
      <c r="T81" s="4">
        <f t="shared" si="11"/>
        <v>0.5</v>
      </c>
    </row>
    <row r="82" spans="1:20" x14ac:dyDescent="0.2">
      <c r="A82" t="s">
        <v>142</v>
      </c>
      <c r="B82" t="s">
        <v>109</v>
      </c>
      <c r="C82">
        <v>1</v>
      </c>
      <c r="D82">
        <v>0</v>
      </c>
      <c r="N82" t="str">
        <v>JavelinThrow</v>
      </c>
      <c r="O82">
        <f t="shared" si="6"/>
        <v>2</v>
      </c>
      <c r="P82">
        <f t="shared" si="7"/>
        <v>1</v>
      </c>
      <c r="Q82">
        <f t="shared" si="8"/>
        <v>1</v>
      </c>
      <c r="R82">
        <f t="shared" si="9"/>
        <v>0</v>
      </c>
      <c r="S82" s="4">
        <f t="shared" si="10"/>
        <v>1</v>
      </c>
      <c r="T82" s="4">
        <f t="shared" si="11"/>
        <v>0.5</v>
      </c>
    </row>
    <row r="83" spans="1:20" x14ac:dyDescent="0.2">
      <c r="A83" t="s">
        <v>143</v>
      </c>
      <c r="B83" t="s">
        <v>144</v>
      </c>
      <c r="C83">
        <v>1</v>
      </c>
      <c r="D83">
        <v>1</v>
      </c>
      <c r="N83" t="str">
        <v>WallPushups</v>
      </c>
      <c r="O83">
        <f t="shared" si="6"/>
        <v>0</v>
      </c>
      <c r="P83">
        <f t="shared" si="7"/>
        <v>1</v>
      </c>
      <c r="Q83">
        <f t="shared" si="8"/>
        <v>1</v>
      </c>
      <c r="R83">
        <f t="shared" si="9"/>
        <v>2</v>
      </c>
      <c r="S83" s="4">
        <f t="shared" si="10"/>
        <v>0</v>
      </c>
      <c r="T83" s="4">
        <f t="shared" si="11"/>
        <v>0.5</v>
      </c>
    </row>
    <row r="84" spans="1:20" x14ac:dyDescent="0.2">
      <c r="A84" t="s">
        <v>145</v>
      </c>
      <c r="B84" t="s">
        <v>103</v>
      </c>
      <c r="C84">
        <v>0</v>
      </c>
      <c r="D84">
        <v>0</v>
      </c>
      <c r="N84" t="str">
        <v>Nunchucks</v>
      </c>
      <c r="O84">
        <f t="shared" si="6"/>
        <v>1</v>
      </c>
      <c r="P84">
        <f t="shared" si="7"/>
        <v>1</v>
      </c>
      <c r="Q84">
        <f t="shared" si="8"/>
        <v>1</v>
      </c>
      <c r="R84">
        <f t="shared" si="9"/>
        <v>1</v>
      </c>
      <c r="S84" s="4">
        <f t="shared" si="10"/>
        <v>0.5</v>
      </c>
      <c r="T84" s="4">
        <f t="shared" si="11"/>
        <v>0.5</v>
      </c>
    </row>
    <row r="85" spans="1:20" x14ac:dyDescent="0.2">
      <c r="A85" t="s">
        <v>146</v>
      </c>
      <c r="B85" t="s">
        <v>147</v>
      </c>
      <c r="C85">
        <v>0</v>
      </c>
      <c r="D85">
        <v>0</v>
      </c>
      <c r="N85" t="str">
        <v>AppleEyeMakeup</v>
      </c>
      <c r="O85">
        <f t="shared" si="6"/>
        <v>1</v>
      </c>
      <c r="P85">
        <f t="shared" si="7"/>
        <v>1</v>
      </c>
      <c r="Q85">
        <f t="shared" si="8"/>
        <v>1</v>
      </c>
      <c r="R85">
        <f t="shared" si="9"/>
        <v>1</v>
      </c>
      <c r="S85" s="4">
        <f t="shared" si="10"/>
        <v>0.5</v>
      </c>
      <c r="T85" s="4">
        <f t="shared" si="11"/>
        <v>0.5</v>
      </c>
    </row>
    <row r="86" spans="1:20" x14ac:dyDescent="0.2">
      <c r="A86" t="s">
        <v>148</v>
      </c>
      <c r="B86" t="s">
        <v>149</v>
      </c>
      <c r="C86">
        <v>0</v>
      </c>
      <c r="D86">
        <v>1</v>
      </c>
      <c r="N86" t="str">
        <v>MoppingFloor</v>
      </c>
      <c r="O86">
        <f t="shared" si="6"/>
        <v>2</v>
      </c>
      <c r="P86">
        <f t="shared" si="7"/>
        <v>1</v>
      </c>
      <c r="Q86">
        <f t="shared" si="8"/>
        <v>1</v>
      </c>
      <c r="R86">
        <f t="shared" si="9"/>
        <v>0</v>
      </c>
      <c r="S86" s="4">
        <f t="shared" si="10"/>
        <v>1</v>
      </c>
      <c r="T86" s="4">
        <f t="shared" si="11"/>
        <v>0.5</v>
      </c>
    </row>
    <row r="87" spans="1:20" x14ac:dyDescent="0.2">
      <c r="A87" t="s">
        <v>150</v>
      </c>
      <c r="B87" t="s">
        <v>114</v>
      </c>
      <c r="C87">
        <v>0</v>
      </c>
      <c r="D87">
        <v>1</v>
      </c>
      <c r="N87" t="str">
        <v>FrontCrawl</v>
      </c>
      <c r="O87">
        <f t="shared" si="6"/>
        <v>2</v>
      </c>
      <c r="P87">
        <f t="shared" si="7"/>
        <v>1</v>
      </c>
      <c r="Q87">
        <f t="shared" si="8"/>
        <v>1</v>
      </c>
      <c r="R87">
        <f t="shared" si="9"/>
        <v>0</v>
      </c>
      <c r="S87" s="4">
        <f t="shared" si="10"/>
        <v>1</v>
      </c>
      <c r="T87" s="4">
        <f t="shared" si="11"/>
        <v>0.5</v>
      </c>
    </row>
    <row r="88" spans="1:20" x14ac:dyDescent="0.2">
      <c r="A88" t="s">
        <v>151</v>
      </c>
      <c r="B88" t="s">
        <v>152</v>
      </c>
      <c r="C88">
        <v>0</v>
      </c>
      <c r="D88">
        <v>0</v>
      </c>
      <c r="N88" t="str">
        <v>BrushingTeeth</v>
      </c>
      <c r="O88">
        <f t="shared" si="6"/>
        <v>2</v>
      </c>
      <c r="P88">
        <f t="shared" si="7"/>
        <v>2</v>
      </c>
      <c r="Q88">
        <f t="shared" si="8"/>
        <v>0</v>
      </c>
      <c r="R88">
        <f t="shared" si="9"/>
        <v>0</v>
      </c>
      <c r="S88" s="4">
        <f t="shared" si="10"/>
        <v>1</v>
      </c>
      <c r="T88" s="4">
        <f t="shared" si="11"/>
        <v>0</v>
      </c>
    </row>
    <row r="89" spans="1:20" x14ac:dyDescent="0.2">
      <c r="A89" t="s">
        <v>153</v>
      </c>
      <c r="B89" t="s">
        <v>154</v>
      </c>
      <c r="C89">
        <v>0</v>
      </c>
      <c r="D89">
        <v>1</v>
      </c>
      <c r="N89" t="str">
        <v>HorseRace</v>
      </c>
      <c r="O89">
        <f t="shared" si="6"/>
        <v>1</v>
      </c>
      <c r="P89">
        <f t="shared" si="7"/>
        <v>2</v>
      </c>
      <c r="Q89">
        <f t="shared" si="8"/>
        <v>0</v>
      </c>
      <c r="R89">
        <f t="shared" si="9"/>
        <v>1</v>
      </c>
      <c r="S89" s="4">
        <f t="shared" si="10"/>
        <v>0.5</v>
      </c>
      <c r="T89" s="4">
        <f t="shared" si="11"/>
        <v>0</v>
      </c>
    </row>
    <row r="90" spans="1:20" x14ac:dyDescent="0.2">
      <c r="A90" t="s">
        <v>155</v>
      </c>
      <c r="B90" t="s">
        <v>78</v>
      </c>
      <c r="C90">
        <v>0</v>
      </c>
      <c r="D90">
        <v>1</v>
      </c>
      <c r="N90" t="str">
        <v>SumoWrestling</v>
      </c>
      <c r="O90">
        <f t="shared" si="6"/>
        <v>2</v>
      </c>
      <c r="P90">
        <f t="shared" si="7"/>
        <v>1</v>
      </c>
      <c r="Q90">
        <f t="shared" si="8"/>
        <v>1</v>
      </c>
      <c r="R90">
        <f t="shared" si="9"/>
        <v>0</v>
      </c>
      <c r="S90" s="4">
        <f t="shared" si="10"/>
        <v>1</v>
      </c>
      <c r="T90" s="4">
        <f t="shared" si="11"/>
        <v>0.5</v>
      </c>
    </row>
    <row r="91" spans="1:20" x14ac:dyDescent="0.2">
      <c r="A91" t="s">
        <v>156</v>
      </c>
      <c r="B91" t="s">
        <v>107</v>
      </c>
      <c r="C91">
        <v>1</v>
      </c>
      <c r="D91">
        <v>1</v>
      </c>
      <c r="N91" t="str">
        <v>ParallelBars</v>
      </c>
      <c r="O91">
        <f t="shared" si="6"/>
        <v>2</v>
      </c>
      <c r="P91">
        <f t="shared" si="7"/>
        <v>1</v>
      </c>
      <c r="Q91">
        <f t="shared" si="8"/>
        <v>1</v>
      </c>
      <c r="R91">
        <f t="shared" si="9"/>
        <v>0</v>
      </c>
      <c r="S91" s="4">
        <f t="shared" si="10"/>
        <v>1</v>
      </c>
      <c r="T91" s="4">
        <f t="shared" si="11"/>
        <v>0.5</v>
      </c>
    </row>
    <row r="92" spans="1:20" x14ac:dyDescent="0.2">
      <c r="A92" t="s">
        <v>157</v>
      </c>
      <c r="B92" t="s">
        <v>49</v>
      </c>
      <c r="C92">
        <v>0</v>
      </c>
      <c r="D92">
        <v>0</v>
      </c>
      <c r="N92" t="str">
        <v>BabyCrawling</v>
      </c>
      <c r="O92">
        <f t="shared" si="6"/>
        <v>0</v>
      </c>
      <c r="P92">
        <f t="shared" si="7"/>
        <v>0</v>
      </c>
      <c r="Q92">
        <f t="shared" si="8"/>
        <v>2</v>
      </c>
      <c r="R92">
        <f t="shared" si="9"/>
        <v>2</v>
      </c>
      <c r="S92" s="4">
        <f t="shared" si="10"/>
        <v>0</v>
      </c>
      <c r="T92" s="4">
        <f t="shared" si="11"/>
        <v>1</v>
      </c>
    </row>
    <row r="93" spans="1:20" x14ac:dyDescent="0.2">
      <c r="A93" t="s">
        <v>158</v>
      </c>
      <c r="B93" t="s">
        <v>89</v>
      </c>
      <c r="C93">
        <v>0</v>
      </c>
      <c r="D93">
        <v>0</v>
      </c>
      <c r="N93" t="str">
        <v>BalanceBeam</v>
      </c>
      <c r="O93">
        <f t="shared" si="6"/>
        <v>2</v>
      </c>
      <c r="P93">
        <f t="shared" si="7"/>
        <v>1</v>
      </c>
      <c r="Q93">
        <f t="shared" si="8"/>
        <v>1</v>
      </c>
      <c r="R93">
        <f t="shared" si="9"/>
        <v>0</v>
      </c>
      <c r="S93" s="4">
        <f t="shared" si="10"/>
        <v>1</v>
      </c>
      <c r="T93" s="4">
        <f t="shared" si="11"/>
        <v>0.5</v>
      </c>
    </row>
    <row r="94" spans="1:20" x14ac:dyDescent="0.2">
      <c r="A94" t="s">
        <v>159</v>
      </c>
      <c r="B94" t="s">
        <v>99</v>
      </c>
      <c r="C94">
        <v>0</v>
      </c>
      <c r="D94">
        <v>0</v>
      </c>
      <c r="N94" t="str">
        <v>PullUps</v>
      </c>
      <c r="O94">
        <f t="shared" si="6"/>
        <v>1</v>
      </c>
      <c r="P94">
        <f t="shared" si="7"/>
        <v>2</v>
      </c>
      <c r="Q94">
        <f t="shared" si="8"/>
        <v>0</v>
      </c>
      <c r="R94">
        <f t="shared" si="9"/>
        <v>1</v>
      </c>
      <c r="S94" s="4">
        <f t="shared" si="10"/>
        <v>0.5</v>
      </c>
      <c r="T94" s="4">
        <f t="shared" si="11"/>
        <v>0</v>
      </c>
    </row>
    <row r="95" spans="1:20" x14ac:dyDescent="0.2">
      <c r="A95" t="s">
        <v>160</v>
      </c>
      <c r="B95" t="s">
        <v>161</v>
      </c>
      <c r="C95">
        <v>0</v>
      </c>
      <c r="D95">
        <v>1</v>
      </c>
      <c r="N95" t="str">
        <v>PoleVault</v>
      </c>
      <c r="O95">
        <f t="shared" si="6"/>
        <v>2</v>
      </c>
      <c r="P95">
        <f t="shared" si="7"/>
        <v>1</v>
      </c>
      <c r="Q95">
        <f t="shared" si="8"/>
        <v>1</v>
      </c>
      <c r="R95">
        <f t="shared" si="9"/>
        <v>0</v>
      </c>
      <c r="S95" s="4">
        <f t="shared" si="10"/>
        <v>1</v>
      </c>
      <c r="T95" s="4">
        <f t="shared" si="11"/>
        <v>0.5</v>
      </c>
    </row>
    <row r="96" spans="1:20" x14ac:dyDescent="0.2">
      <c r="A96" t="s">
        <v>162</v>
      </c>
      <c r="B96" t="s">
        <v>34</v>
      </c>
      <c r="C96">
        <v>0</v>
      </c>
      <c r="D96">
        <v>0</v>
      </c>
      <c r="N96" t="str">
        <v>BlowingCandles</v>
      </c>
      <c r="O96">
        <f t="shared" si="6"/>
        <v>2</v>
      </c>
      <c r="P96">
        <f t="shared" si="7"/>
        <v>0</v>
      </c>
      <c r="Q96">
        <f t="shared" si="8"/>
        <v>1</v>
      </c>
      <c r="R96">
        <f t="shared" si="9"/>
        <v>0</v>
      </c>
      <c r="S96" s="4">
        <f t="shared" si="10"/>
        <v>1</v>
      </c>
      <c r="T96" s="4">
        <f t="shared" si="11"/>
        <v>1</v>
      </c>
    </row>
    <row r="97" spans="1:20" x14ac:dyDescent="0.2">
      <c r="A97" t="s">
        <v>163</v>
      </c>
      <c r="B97" t="s">
        <v>46</v>
      </c>
      <c r="C97">
        <v>1</v>
      </c>
      <c r="D97">
        <v>1</v>
      </c>
      <c r="N97" t="str">
        <v>PlayingSitar</v>
      </c>
      <c r="O97">
        <f t="shared" si="6"/>
        <v>1</v>
      </c>
      <c r="P97">
        <f t="shared" si="7"/>
        <v>2</v>
      </c>
      <c r="Q97">
        <f t="shared" si="8"/>
        <v>0</v>
      </c>
      <c r="R97">
        <f t="shared" si="9"/>
        <v>1</v>
      </c>
      <c r="S97" s="4">
        <f t="shared" si="10"/>
        <v>0.5</v>
      </c>
      <c r="T97" s="4">
        <f t="shared" si="11"/>
        <v>0</v>
      </c>
    </row>
    <row r="98" spans="1:20" x14ac:dyDescent="0.2">
      <c r="A98" t="s">
        <v>164</v>
      </c>
      <c r="B98" t="s">
        <v>72</v>
      </c>
      <c r="C98">
        <v>0</v>
      </c>
      <c r="D98">
        <v>1</v>
      </c>
      <c r="N98" t="str">
        <v>PommelHorse</v>
      </c>
      <c r="O98">
        <f t="shared" si="6"/>
        <v>0</v>
      </c>
      <c r="P98">
        <f t="shared" si="7"/>
        <v>1</v>
      </c>
      <c r="Q98">
        <f t="shared" si="8"/>
        <v>1</v>
      </c>
      <c r="R98">
        <f t="shared" si="9"/>
        <v>2</v>
      </c>
      <c r="S98" s="4">
        <f t="shared" si="10"/>
        <v>0</v>
      </c>
      <c r="T98" s="4">
        <f t="shared" si="11"/>
        <v>0.5</v>
      </c>
    </row>
    <row r="99" spans="1:20" x14ac:dyDescent="0.2">
      <c r="A99" t="s">
        <v>165</v>
      </c>
      <c r="B99" t="s">
        <v>128</v>
      </c>
      <c r="C99">
        <v>0</v>
      </c>
      <c r="D99">
        <v>0</v>
      </c>
      <c r="N99" t="str">
        <v>HammerThrow</v>
      </c>
      <c r="O99">
        <f t="shared" si="6"/>
        <v>1</v>
      </c>
      <c r="P99">
        <f t="shared" si="7"/>
        <v>2</v>
      </c>
      <c r="Q99">
        <f t="shared" si="8"/>
        <v>0</v>
      </c>
      <c r="R99">
        <f t="shared" si="9"/>
        <v>1</v>
      </c>
      <c r="S99" s="4">
        <f t="shared" si="10"/>
        <v>0.5</v>
      </c>
      <c r="T99" s="4">
        <f t="shared" si="11"/>
        <v>0</v>
      </c>
    </row>
    <row r="100" spans="1:20" x14ac:dyDescent="0.2">
      <c r="A100" t="s">
        <v>166</v>
      </c>
      <c r="B100" t="s">
        <v>25</v>
      </c>
      <c r="C100">
        <v>1</v>
      </c>
      <c r="D100">
        <v>0</v>
      </c>
      <c r="N100" t="str">
        <v>SoccerPenalty</v>
      </c>
      <c r="O100">
        <f t="shared" si="6"/>
        <v>2</v>
      </c>
      <c r="P100">
        <f t="shared" si="7"/>
        <v>1</v>
      </c>
      <c r="Q100">
        <f t="shared" si="8"/>
        <v>1</v>
      </c>
      <c r="R100">
        <f t="shared" si="9"/>
        <v>0</v>
      </c>
      <c r="S100" s="4">
        <f t="shared" si="10"/>
        <v>1</v>
      </c>
      <c r="T100" s="4">
        <f t="shared" si="11"/>
        <v>0.5</v>
      </c>
    </row>
    <row r="101" spans="1:20" x14ac:dyDescent="0.2">
      <c r="A101" t="s">
        <v>167</v>
      </c>
      <c r="B101" t="s">
        <v>130</v>
      </c>
      <c r="C101">
        <v>1</v>
      </c>
      <c r="D101">
        <v>0</v>
      </c>
      <c r="N101" t="str">
        <v>Punch</v>
      </c>
      <c r="O101">
        <f t="shared" si="6"/>
        <v>1</v>
      </c>
      <c r="P101">
        <f t="shared" si="7"/>
        <v>0</v>
      </c>
      <c r="Q101">
        <f t="shared" si="8"/>
        <v>2</v>
      </c>
      <c r="R101">
        <f t="shared" si="9"/>
        <v>1</v>
      </c>
      <c r="S101" s="4">
        <f t="shared" si="10"/>
        <v>0.5</v>
      </c>
      <c r="T101" s="4">
        <f t="shared" si="11"/>
        <v>1</v>
      </c>
    </row>
    <row r="102" spans="1:20" x14ac:dyDescent="0.2">
      <c r="A102" t="s">
        <v>168</v>
      </c>
      <c r="B102" t="s">
        <v>120</v>
      </c>
      <c r="C102">
        <v>0</v>
      </c>
      <c r="D102">
        <v>1</v>
      </c>
    </row>
    <row r="103" spans="1:20" x14ac:dyDescent="0.2">
      <c r="A103" t="s">
        <v>169</v>
      </c>
      <c r="B103" t="s">
        <v>170</v>
      </c>
      <c r="C103">
        <v>0</v>
      </c>
      <c r="D103">
        <v>0</v>
      </c>
    </row>
    <row r="104" spans="1:20" x14ac:dyDescent="0.2">
      <c r="A104" t="s">
        <v>171</v>
      </c>
      <c r="B104" t="s">
        <v>172</v>
      </c>
      <c r="C104">
        <v>1</v>
      </c>
      <c r="D104">
        <v>1</v>
      </c>
    </row>
    <row r="105" spans="1:20" x14ac:dyDescent="0.2">
      <c r="A105" t="s">
        <v>173</v>
      </c>
      <c r="B105" t="s">
        <v>49</v>
      </c>
      <c r="C105">
        <v>1</v>
      </c>
      <c r="D105">
        <v>0</v>
      </c>
    </row>
    <row r="106" spans="1:20" x14ac:dyDescent="0.2">
      <c r="A106" t="s">
        <v>174</v>
      </c>
      <c r="B106" t="s">
        <v>124</v>
      </c>
      <c r="C106">
        <v>0</v>
      </c>
      <c r="D106">
        <v>1</v>
      </c>
    </row>
    <row r="107" spans="1:20" x14ac:dyDescent="0.2">
      <c r="A107" t="s">
        <v>175</v>
      </c>
      <c r="B107" t="s">
        <v>67</v>
      </c>
      <c r="C107">
        <v>1</v>
      </c>
      <c r="D107">
        <v>1</v>
      </c>
    </row>
    <row r="108" spans="1:20" x14ac:dyDescent="0.2">
      <c r="A108" t="s">
        <v>176</v>
      </c>
      <c r="B108" t="s">
        <v>114</v>
      </c>
      <c r="C108">
        <v>0</v>
      </c>
      <c r="D108">
        <v>1</v>
      </c>
    </row>
    <row r="109" spans="1:20" x14ac:dyDescent="0.2">
      <c r="A109" t="s">
        <v>177</v>
      </c>
      <c r="B109" t="s">
        <v>132</v>
      </c>
      <c r="C109">
        <v>1</v>
      </c>
      <c r="D109">
        <v>1</v>
      </c>
    </row>
    <row r="110" spans="1:20" x14ac:dyDescent="0.2">
      <c r="A110" t="s">
        <v>178</v>
      </c>
      <c r="B110" t="s">
        <v>132</v>
      </c>
      <c r="C110">
        <v>1</v>
      </c>
      <c r="D110">
        <v>0</v>
      </c>
    </row>
    <row r="111" spans="1:20" x14ac:dyDescent="0.2">
      <c r="A111" t="s">
        <v>179</v>
      </c>
      <c r="B111" t="s">
        <v>180</v>
      </c>
      <c r="C111">
        <v>1</v>
      </c>
      <c r="D111">
        <v>1</v>
      </c>
    </row>
    <row r="112" spans="1:20" x14ac:dyDescent="0.2">
      <c r="A112" t="s">
        <v>181</v>
      </c>
      <c r="B112" t="s">
        <v>84</v>
      </c>
      <c r="C112">
        <v>0</v>
      </c>
      <c r="D112">
        <v>1</v>
      </c>
    </row>
    <row r="113" spans="1:4" x14ac:dyDescent="0.2">
      <c r="A113" t="s">
        <v>182</v>
      </c>
      <c r="B113" t="s">
        <v>124</v>
      </c>
      <c r="C113">
        <v>1</v>
      </c>
      <c r="D113">
        <v>0</v>
      </c>
    </row>
    <row r="114" spans="1:4" x14ac:dyDescent="0.2">
      <c r="A114" t="s">
        <v>183</v>
      </c>
      <c r="B114" t="s">
        <v>184</v>
      </c>
      <c r="C114">
        <v>1</v>
      </c>
      <c r="D114">
        <v>0</v>
      </c>
    </row>
    <row r="115" spans="1:4" x14ac:dyDescent="0.2">
      <c r="A115" t="s">
        <v>185</v>
      </c>
      <c r="B115" t="s">
        <v>46</v>
      </c>
      <c r="C115">
        <v>0</v>
      </c>
      <c r="D115">
        <v>0</v>
      </c>
    </row>
    <row r="116" spans="1:4" x14ac:dyDescent="0.2">
      <c r="A116" t="s">
        <v>186</v>
      </c>
      <c r="B116" t="s">
        <v>161</v>
      </c>
      <c r="C116">
        <v>0</v>
      </c>
      <c r="D116">
        <v>0</v>
      </c>
    </row>
    <row r="117" spans="1:4" x14ac:dyDescent="0.2">
      <c r="A117" t="s">
        <v>187</v>
      </c>
      <c r="B117" t="s">
        <v>188</v>
      </c>
      <c r="C117">
        <v>0</v>
      </c>
      <c r="D117">
        <v>0</v>
      </c>
    </row>
    <row r="118" spans="1:4" x14ac:dyDescent="0.2">
      <c r="A118" t="s">
        <v>189</v>
      </c>
      <c r="B118" t="s">
        <v>17</v>
      </c>
      <c r="C118">
        <v>1</v>
      </c>
      <c r="D118">
        <v>1</v>
      </c>
    </row>
    <row r="119" spans="1:4" x14ac:dyDescent="0.2">
      <c r="A119" t="s">
        <v>190</v>
      </c>
      <c r="B119" t="s">
        <v>191</v>
      </c>
      <c r="C119">
        <v>1</v>
      </c>
      <c r="D119">
        <v>0</v>
      </c>
    </row>
    <row r="120" spans="1:4" x14ac:dyDescent="0.2">
      <c r="A120" t="s">
        <v>192</v>
      </c>
      <c r="B120" t="s">
        <v>40</v>
      </c>
      <c r="C120">
        <v>1</v>
      </c>
      <c r="D120">
        <v>0</v>
      </c>
    </row>
    <row r="121" spans="1:4" x14ac:dyDescent="0.2">
      <c r="A121" t="s">
        <v>193</v>
      </c>
      <c r="B121" t="s">
        <v>194</v>
      </c>
      <c r="C121">
        <v>0</v>
      </c>
      <c r="D121">
        <v>1</v>
      </c>
    </row>
    <row r="122" spans="1:4" x14ac:dyDescent="0.2">
      <c r="A122" t="s">
        <v>195</v>
      </c>
      <c r="B122" t="s">
        <v>196</v>
      </c>
      <c r="C122">
        <v>0</v>
      </c>
      <c r="D122">
        <v>1</v>
      </c>
    </row>
    <row r="123" spans="1:4" x14ac:dyDescent="0.2">
      <c r="A123" t="s">
        <v>197</v>
      </c>
      <c r="B123" t="s">
        <v>67</v>
      </c>
      <c r="C123">
        <v>1</v>
      </c>
      <c r="D123">
        <v>1</v>
      </c>
    </row>
    <row r="124" spans="1:4" x14ac:dyDescent="0.2">
      <c r="A124" t="s">
        <v>198</v>
      </c>
      <c r="B124" t="s">
        <v>199</v>
      </c>
      <c r="C124">
        <v>0</v>
      </c>
      <c r="D124">
        <v>0</v>
      </c>
    </row>
    <row r="125" spans="1:4" x14ac:dyDescent="0.2">
      <c r="A125" t="s">
        <v>200</v>
      </c>
      <c r="B125" t="s">
        <v>201</v>
      </c>
      <c r="C125">
        <v>0</v>
      </c>
      <c r="D125">
        <v>1</v>
      </c>
    </row>
    <row r="126" spans="1:4" x14ac:dyDescent="0.2">
      <c r="A126" t="s">
        <v>202</v>
      </c>
      <c r="B126" t="s">
        <v>203</v>
      </c>
      <c r="C126">
        <v>1</v>
      </c>
      <c r="D126">
        <v>0</v>
      </c>
    </row>
    <row r="127" spans="1:4" x14ac:dyDescent="0.2">
      <c r="A127" t="s">
        <v>204</v>
      </c>
      <c r="B127" t="s">
        <v>203</v>
      </c>
      <c r="C127">
        <v>0</v>
      </c>
      <c r="D127">
        <v>0</v>
      </c>
    </row>
    <row r="128" spans="1:4" x14ac:dyDescent="0.2">
      <c r="A128" t="s">
        <v>205</v>
      </c>
      <c r="B128" t="s">
        <v>180</v>
      </c>
      <c r="C128">
        <v>0</v>
      </c>
      <c r="D128">
        <v>1</v>
      </c>
    </row>
    <row r="129" spans="1:4" x14ac:dyDescent="0.2">
      <c r="A129" t="s">
        <v>206</v>
      </c>
      <c r="B129" t="s">
        <v>38</v>
      </c>
      <c r="C129">
        <v>0</v>
      </c>
      <c r="D129">
        <v>0</v>
      </c>
    </row>
    <row r="130" spans="1:4" x14ac:dyDescent="0.2">
      <c r="A130" t="s">
        <v>207</v>
      </c>
      <c r="B130" t="s">
        <v>126</v>
      </c>
      <c r="C130">
        <v>0</v>
      </c>
      <c r="D130">
        <v>0</v>
      </c>
    </row>
    <row r="131" spans="1:4" x14ac:dyDescent="0.2">
      <c r="A131" t="s">
        <v>208</v>
      </c>
      <c r="B131" t="s">
        <v>180</v>
      </c>
      <c r="C131">
        <v>1</v>
      </c>
      <c r="D131">
        <v>1</v>
      </c>
    </row>
    <row r="132" spans="1:4" x14ac:dyDescent="0.2">
      <c r="A132" t="s">
        <v>209</v>
      </c>
      <c r="B132" t="s">
        <v>122</v>
      </c>
      <c r="C132">
        <v>1</v>
      </c>
      <c r="D132">
        <v>0</v>
      </c>
    </row>
    <row r="133" spans="1:4" x14ac:dyDescent="0.2">
      <c r="A133" t="s">
        <v>210</v>
      </c>
      <c r="B133" t="s">
        <v>56</v>
      </c>
      <c r="C133">
        <v>1</v>
      </c>
      <c r="D133">
        <v>0</v>
      </c>
    </row>
    <row r="134" spans="1:4" x14ac:dyDescent="0.2">
      <c r="A134" t="s">
        <v>211</v>
      </c>
      <c r="B134" t="s">
        <v>17</v>
      </c>
      <c r="C134">
        <v>0</v>
      </c>
      <c r="D134">
        <v>1</v>
      </c>
    </row>
    <row r="135" spans="1:4" x14ac:dyDescent="0.2">
      <c r="A135" t="s">
        <v>212</v>
      </c>
      <c r="B135" t="s">
        <v>213</v>
      </c>
      <c r="C135">
        <v>1</v>
      </c>
      <c r="D135">
        <v>1</v>
      </c>
    </row>
    <row r="136" spans="1:4" x14ac:dyDescent="0.2">
      <c r="A136" t="s">
        <v>214</v>
      </c>
      <c r="B136" t="s">
        <v>64</v>
      </c>
      <c r="C136">
        <v>1</v>
      </c>
      <c r="D136">
        <v>0</v>
      </c>
    </row>
    <row r="137" spans="1:4" x14ac:dyDescent="0.2">
      <c r="A137" t="s">
        <v>215</v>
      </c>
      <c r="B137" t="s">
        <v>216</v>
      </c>
      <c r="C137">
        <v>0</v>
      </c>
      <c r="D137">
        <v>1</v>
      </c>
    </row>
    <row r="138" spans="1:4" x14ac:dyDescent="0.2">
      <c r="A138" t="s">
        <v>217</v>
      </c>
      <c r="B138" t="s">
        <v>218</v>
      </c>
      <c r="C138">
        <v>1</v>
      </c>
      <c r="D138">
        <v>1</v>
      </c>
    </row>
    <row r="139" spans="1:4" x14ac:dyDescent="0.2">
      <c r="A139" t="s">
        <v>219</v>
      </c>
      <c r="B139" t="s">
        <v>220</v>
      </c>
      <c r="C139">
        <v>1</v>
      </c>
      <c r="D139">
        <v>0</v>
      </c>
    </row>
    <row r="140" spans="1:4" x14ac:dyDescent="0.2">
      <c r="A140" t="s">
        <v>221</v>
      </c>
      <c r="B140" t="s">
        <v>46</v>
      </c>
      <c r="C140">
        <v>1</v>
      </c>
      <c r="D140">
        <v>0</v>
      </c>
    </row>
    <row r="141" spans="1:4" x14ac:dyDescent="0.2">
      <c r="A141" t="s">
        <v>222</v>
      </c>
      <c r="B141" t="s">
        <v>62</v>
      </c>
      <c r="C141">
        <v>1</v>
      </c>
      <c r="D141">
        <v>1</v>
      </c>
    </row>
    <row r="142" spans="1:4" x14ac:dyDescent="0.2">
      <c r="A142" t="s">
        <v>223</v>
      </c>
      <c r="B142" t="s">
        <v>44</v>
      </c>
      <c r="C142">
        <v>1</v>
      </c>
      <c r="D142">
        <v>1</v>
      </c>
    </row>
    <row r="143" spans="1:4" x14ac:dyDescent="0.2">
      <c r="A143" t="s">
        <v>224</v>
      </c>
      <c r="B143" t="s">
        <v>67</v>
      </c>
      <c r="C143">
        <v>0</v>
      </c>
      <c r="D143">
        <v>1</v>
      </c>
    </row>
    <row r="144" spans="1:4" x14ac:dyDescent="0.2">
      <c r="A144" t="s">
        <v>225</v>
      </c>
      <c r="B144" t="s">
        <v>218</v>
      </c>
      <c r="C144">
        <v>1</v>
      </c>
      <c r="D144">
        <v>1</v>
      </c>
    </row>
    <row r="145" spans="1:4" x14ac:dyDescent="0.2">
      <c r="A145" t="s">
        <v>226</v>
      </c>
      <c r="B145" t="s">
        <v>9</v>
      </c>
      <c r="C145">
        <v>1</v>
      </c>
      <c r="D145">
        <v>1</v>
      </c>
    </row>
    <row r="146" spans="1:4" x14ac:dyDescent="0.2">
      <c r="A146" t="s">
        <v>227</v>
      </c>
      <c r="B146" t="s">
        <v>228</v>
      </c>
      <c r="C146">
        <v>1</v>
      </c>
      <c r="D146">
        <v>1</v>
      </c>
    </row>
    <row r="147" spans="1:4" x14ac:dyDescent="0.2">
      <c r="A147" t="s">
        <v>229</v>
      </c>
      <c r="B147" t="s">
        <v>230</v>
      </c>
      <c r="C147">
        <v>1</v>
      </c>
      <c r="D147">
        <v>1</v>
      </c>
    </row>
    <row r="148" spans="1:4" x14ac:dyDescent="0.2">
      <c r="A148" t="s">
        <v>231</v>
      </c>
      <c r="B148" t="s">
        <v>232</v>
      </c>
      <c r="C148">
        <v>1</v>
      </c>
      <c r="D148">
        <v>1</v>
      </c>
    </row>
    <row r="149" spans="1:4" x14ac:dyDescent="0.2">
      <c r="A149" t="s">
        <v>233</v>
      </c>
      <c r="B149" t="s">
        <v>170</v>
      </c>
      <c r="C149">
        <v>1</v>
      </c>
      <c r="D149">
        <v>1</v>
      </c>
    </row>
    <row r="150" spans="1:4" x14ac:dyDescent="0.2">
      <c r="A150" t="s">
        <v>234</v>
      </c>
      <c r="B150" t="s">
        <v>122</v>
      </c>
      <c r="C150">
        <v>0</v>
      </c>
      <c r="D150">
        <v>0</v>
      </c>
    </row>
    <row r="151" spans="1:4" x14ac:dyDescent="0.2">
      <c r="A151" t="s">
        <v>235</v>
      </c>
      <c r="B151" t="s">
        <v>236</v>
      </c>
      <c r="C151">
        <v>1</v>
      </c>
      <c r="D151">
        <v>1</v>
      </c>
    </row>
    <row r="152" spans="1:4" x14ac:dyDescent="0.2">
      <c r="A152" t="s">
        <v>237</v>
      </c>
      <c r="B152" t="s">
        <v>38</v>
      </c>
      <c r="C152">
        <v>1</v>
      </c>
      <c r="D152">
        <v>0</v>
      </c>
    </row>
    <row r="153" spans="1:4" x14ac:dyDescent="0.2">
      <c r="A153" t="s">
        <v>238</v>
      </c>
      <c r="B153" t="s">
        <v>201</v>
      </c>
      <c r="C153">
        <v>1</v>
      </c>
      <c r="D153">
        <v>1</v>
      </c>
    </row>
    <row r="154" spans="1:4" x14ac:dyDescent="0.2">
      <c r="A154" t="s">
        <v>239</v>
      </c>
      <c r="B154" t="s">
        <v>240</v>
      </c>
      <c r="C154">
        <v>1</v>
      </c>
      <c r="D154">
        <v>1</v>
      </c>
    </row>
    <row r="155" spans="1:4" x14ac:dyDescent="0.2">
      <c r="A155" t="s">
        <v>241</v>
      </c>
      <c r="B155" t="s">
        <v>213</v>
      </c>
      <c r="C155">
        <v>0</v>
      </c>
      <c r="D155">
        <v>0</v>
      </c>
    </row>
    <row r="156" spans="1:4" x14ac:dyDescent="0.2">
      <c r="A156" t="s">
        <v>242</v>
      </c>
      <c r="B156" t="s">
        <v>23</v>
      </c>
      <c r="C156">
        <v>1</v>
      </c>
      <c r="D156">
        <v>1</v>
      </c>
    </row>
    <row r="157" spans="1:4" x14ac:dyDescent="0.2">
      <c r="A157" t="s">
        <v>243</v>
      </c>
      <c r="B157" t="s">
        <v>51</v>
      </c>
      <c r="C157">
        <v>0</v>
      </c>
      <c r="D157">
        <v>0</v>
      </c>
    </row>
    <row r="158" spans="1:4" x14ac:dyDescent="0.2">
      <c r="A158" t="s">
        <v>244</v>
      </c>
      <c r="B158" t="s">
        <v>191</v>
      </c>
      <c r="C158">
        <v>0</v>
      </c>
      <c r="D158">
        <v>1</v>
      </c>
    </row>
    <row r="159" spans="1:4" x14ac:dyDescent="0.2">
      <c r="A159" t="s">
        <v>245</v>
      </c>
      <c r="B159" t="s">
        <v>246</v>
      </c>
      <c r="C159">
        <v>1</v>
      </c>
      <c r="D159">
        <v>0</v>
      </c>
    </row>
    <row r="160" spans="1:4" x14ac:dyDescent="0.2">
      <c r="A160" t="s">
        <v>247</v>
      </c>
      <c r="B160" t="s">
        <v>232</v>
      </c>
      <c r="C160">
        <v>0</v>
      </c>
      <c r="D160">
        <v>1</v>
      </c>
    </row>
    <row r="161" spans="1:4" x14ac:dyDescent="0.2">
      <c r="A161" t="s">
        <v>248</v>
      </c>
      <c r="B161" t="s">
        <v>120</v>
      </c>
      <c r="C161">
        <v>1</v>
      </c>
      <c r="D161">
        <v>1</v>
      </c>
    </row>
    <row r="162" spans="1:4" x14ac:dyDescent="0.2">
      <c r="A162" t="s">
        <v>249</v>
      </c>
      <c r="B162" t="s">
        <v>172</v>
      </c>
      <c r="C162">
        <v>0</v>
      </c>
      <c r="D162">
        <v>0</v>
      </c>
    </row>
    <row r="163" spans="1:4" x14ac:dyDescent="0.2">
      <c r="A163" t="s">
        <v>250</v>
      </c>
      <c r="B163" t="s">
        <v>251</v>
      </c>
      <c r="C163">
        <v>0</v>
      </c>
      <c r="D163">
        <v>1</v>
      </c>
    </row>
    <row r="164" spans="1:4" x14ac:dyDescent="0.2">
      <c r="A164" t="s">
        <v>252</v>
      </c>
      <c r="B164" t="s">
        <v>76</v>
      </c>
      <c r="C164">
        <v>0</v>
      </c>
      <c r="D164">
        <v>0</v>
      </c>
    </row>
    <row r="165" spans="1:4" x14ac:dyDescent="0.2">
      <c r="A165" t="s">
        <v>253</v>
      </c>
      <c r="B165" t="s">
        <v>232</v>
      </c>
      <c r="C165">
        <v>0</v>
      </c>
      <c r="D165">
        <v>0</v>
      </c>
    </row>
    <row r="166" spans="1:4" x14ac:dyDescent="0.2">
      <c r="A166" t="s">
        <v>254</v>
      </c>
      <c r="B166" t="s">
        <v>34</v>
      </c>
      <c r="C166">
        <v>1</v>
      </c>
      <c r="D166">
        <v>0</v>
      </c>
    </row>
    <row r="167" spans="1:4" x14ac:dyDescent="0.2">
      <c r="A167" t="s">
        <v>255</v>
      </c>
      <c r="B167" t="s">
        <v>80</v>
      </c>
      <c r="C167">
        <v>1</v>
      </c>
      <c r="D167">
        <v>1</v>
      </c>
    </row>
    <row r="168" spans="1:4" x14ac:dyDescent="0.2">
      <c r="A168" t="s">
        <v>256</v>
      </c>
      <c r="B168" t="s">
        <v>257</v>
      </c>
      <c r="C168">
        <v>1</v>
      </c>
      <c r="D168">
        <v>1</v>
      </c>
    </row>
    <row r="169" spans="1:4" x14ac:dyDescent="0.2">
      <c r="A169" t="s">
        <v>258</v>
      </c>
      <c r="B169" t="s">
        <v>161</v>
      </c>
      <c r="C169">
        <v>1</v>
      </c>
      <c r="D169">
        <v>1</v>
      </c>
    </row>
    <row r="170" spans="1:4" x14ac:dyDescent="0.2">
      <c r="A170" t="s">
        <v>259</v>
      </c>
      <c r="B170" t="s">
        <v>228</v>
      </c>
      <c r="C170">
        <v>1</v>
      </c>
      <c r="D170">
        <v>0</v>
      </c>
    </row>
    <row r="171" spans="1:4" x14ac:dyDescent="0.2">
      <c r="A171" t="s">
        <v>260</v>
      </c>
      <c r="B171" t="s">
        <v>236</v>
      </c>
      <c r="C171">
        <v>1</v>
      </c>
      <c r="D171">
        <v>1</v>
      </c>
    </row>
    <row r="172" spans="1:4" x14ac:dyDescent="0.2">
      <c r="A172" t="s">
        <v>261</v>
      </c>
      <c r="B172" t="s">
        <v>15</v>
      </c>
      <c r="C172">
        <v>1</v>
      </c>
      <c r="D172">
        <v>0</v>
      </c>
    </row>
    <row r="173" spans="1:4" x14ac:dyDescent="0.2">
      <c r="A173" t="s">
        <v>262</v>
      </c>
      <c r="B173" t="s">
        <v>199</v>
      </c>
      <c r="C173">
        <v>1</v>
      </c>
      <c r="D173">
        <v>0</v>
      </c>
    </row>
    <row r="174" spans="1:4" x14ac:dyDescent="0.2">
      <c r="A174" t="s">
        <v>263</v>
      </c>
      <c r="B174" t="s">
        <v>246</v>
      </c>
      <c r="C174">
        <v>0</v>
      </c>
      <c r="D174">
        <v>1</v>
      </c>
    </row>
    <row r="175" spans="1:4" x14ac:dyDescent="0.2">
      <c r="A175" t="s">
        <v>264</v>
      </c>
      <c r="B175" t="s">
        <v>128</v>
      </c>
      <c r="C175">
        <v>1</v>
      </c>
      <c r="D175">
        <v>1</v>
      </c>
    </row>
    <row r="176" spans="1:4" x14ac:dyDescent="0.2">
      <c r="A176" t="s">
        <v>265</v>
      </c>
      <c r="B176" t="s">
        <v>199</v>
      </c>
      <c r="C176">
        <v>1</v>
      </c>
      <c r="D176">
        <v>1</v>
      </c>
    </row>
    <row r="177" spans="1:4" x14ac:dyDescent="0.2">
      <c r="A177" t="s">
        <v>266</v>
      </c>
      <c r="B177" t="s">
        <v>172</v>
      </c>
      <c r="C177">
        <v>0</v>
      </c>
      <c r="D177">
        <v>1</v>
      </c>
    </row>
    <row r="178" spans="1:4" x14ac:dyDescent="0.2">
      <c r="A178" t="s">
        <v>267</v>
      </c>
      <c r="B178" t="s">
        <v>9</v>
      </c>
      <c r="C178">
        <v>0</v>
      </c>
      <c r="D178">
        <v>0</v>
      </c>
    </row>
    <row r="179" spans="1:4" x14ac:dyDescent="0.2">
      <c r="A179" t="s">
        <v>268</v>
      </c>
      <c r="B179" t="s">
        <v>40</v>
      </c>
      <c r="C179">
        <v>0</v>
      </c>
      <c r="D179">
        <v>0</v>
      </c>
    </row>
    <row r="180" spans="1:4" x14ac:dyDescent="0.2">
      <c r="A180" t="s">
        <v>269</v>
      </c>
      <c r="B180" t="s">
        <v>69</v>
      </c>
      <c r="C180">
        <v>0</v>
      </c>
      <c r="D180">
        <v>0</v>
      </c>
    </row>
    <row r="181" spans="1:4" x14ac:dyDescent="0.2">
      <c r="A181" t="s">
        <v>270</v>
      </c>
      <c r="B181" t="s">
        <v>94</v>
      </c>
      <c r="C181">
        <v>1</v>
      </c>
      <c r="D181">
        <v>0</v>
      </c>
    </row>
    <row r="182" spans="1:4" x14ac:dyDescent="0.2">
      <c r="A182" t="s">
        <v>271</v>
      </c>
      <c r="B182" t="s">
        <v>105</v>
      </c>
      <c r="C182">
        <v>1</v>
      </c>
      <c r="D182">
        <v>1</v>
      </c>
    </row>
    <row r="183" spans="1:4" x14ac:dyDescent="0.2">
      <c r="A183" t="s">
        <v>272</v>
      </c>
      <c r="B183" t="s">
        <v>273</v>
      </c>
      <c r="C183">
        <v>0</v>
      </c>
      <c r="D183">
        <v>0</v>
      </c>
    </row>
    <row r="184" spans="1:4" x14ac:dyDescent="0.2">
      <c r="A184" t="s">
        <v>274</v>
      </c>
      <c r="B184" t="s">
        <v>213</v>
      </c>
      <c r="C184">
        <v>0</v>
      </c>
      <c r="D184">
        <v>1</v>
      </c>
    </row>
    <row r="185" spans="1:4" x14ac:dyDescent="0.2">
      <c r="A185" t="s">
        <v>275</v>
      </c>
      <c r="B185" t="s">
        <v>72</v>
      </c>
      <c r="C185">
        <v>0</v>
      </c>
      <c r="D185">
        <v>0</v>
      </c>
    </row>
    <row r="186" spans="1:4" x14ac:dyDescent="0.2">
      <c r="A186" t="s">
        <v>276</v>
      </c>
      <c r="B186" t="s">
        <v>25</v>
      </c>
      <c r="C186">
        <v>0</v>
      </c>
      <c r="D186">
        <v>1</v>
      </c>
    </row>
    <row r="187" spans="1:4" x14ac:dyDescent="0.2">
      <c r="A187" t="s">
        <v>277</v>
      </c>
      <c r="B187" t="s">
        <v>199</v>
      </c>
      <c r="C187">
        <v>0</v>
      </c>
      <c r="D187">
        <v>1</v>
      </c>
    </row>
    <row r="188" spans="1:4" x14ac:dyDescent="0.2">
      <c r="A188" t="s">
        <v>278</v>
      </c>
      <c r="B188" t="s">
        <v>220</v>
      </c>
      <c r="C188">
        <v>0</v>
      </c>
      <c r="D188">
        <v>0</v>
      </c>
    </row>
    <row r="189" spans="1:4" x14ac:dyDescent="0.2">
      <c r="A189" t="s">
        <v>279</v>
      </c>
      <c r="B189" t="s">
        <v>280</v>
      </c>
      <c r="C189">
        <v>0</v>
      </c>
      <c r="D189">
        <v>0</v>
      </c>
    </row>
    <row r="190" spans="1:4" x14ac:dyDescent="0.2">
      <c r="A190" t="s">
        <v>281</v>
      </c>
      <c r="B190" t="s">
        <v>246</v>
      </c>
      <c r="C190">
        <v>1</v>
      </c>
      <c r="D190">
        <v>1</v>
      </c>
    </row>
    <row r="191" spans="1:4" x14ac:dyDescent="0.2">
      <c r="A191" t="s">
        <v>282</v>
      </c>
      <c r="B191" t="s">
        <v>7</v>
      </c>
      <c r="C191">
        <v>1</v>
      </c>
      <c r="D191">
        <v>0</v>
      </c>
    </row>
    <row r="192" spans="1:4" x14ac:dyDescent="0.2">
      <c r="A192" t="s">
        <v>283</v>
      </c>
      <c r="B192" t="s">
        <v>128</v>
      </c>
      <c r="C192">
        <v>1</v>
      </c>
      <c r="D192">
        <v>1</v>
      </c>
    </row>
    <row r="193" spans="1:4" x14ac:dyDescent="0.2">
      <c r="A193" t="s">
        <v>284</v>
      </c>
      <c r="B193" t="s">
        <v>11</v>
      </c>
      <c r="C193">
        <v>1</v>
      </c>
      <c r="D193">
        <v>1</v>
      </c>
    </row>
    <row r="194" spans="1:4" x14ac:dyDescent="0.2">
      <c r="A194" t="s">
        <v>285</v>
      </c>
      <c r="B194" t="s">
        <v>240</v>
      </c>
      <c r="C194">
        <v>0</v>
      </c>
      <c r="D194">
        <v>1</v>
      </c>
    </row>
    <row r="195" spans="1:4" x14ac:dyDescent="0.2">
      <c r="A195" t="s">
        <v>286</v>
      </c>
      <c r="B195" t="s">
        <v>257</v>
      </c>
      <c r="C195">
        <v>0</v>
      </c>
      <c r="D195">
        <v>1</v>
      </c>
    </row>
    <row r="196" spans="1:4" x14ac:dyDescent="0.2">
      <c r="A196" t="s">
        <v>287</v>
      </c>
      <c r="B196" t="s">
        <v>120</v>
      </c>
      <c r="C196">
        <v>0</v>
      </c>
      <c r="D196">
        <v>1</v>
      </c>
    </row>
    <row r="197" spans="1:4" x14ac:dyDescent="0.2">
      <c r="A197" t="s">
        <v>288</v>
      </c>
      <c r="B197" t="s">
        <v>180</v>
      </c>
      <c r="C197">
        <v>0</v>
      </c>
      <c r="D197">
        <v>1</v>
      </c>
    </row>
    <row r="198" spans="1:4" x14ac:dyDescent="0.2">
      <c r="A198" t="s">
        <v>289</v>
      </c>
      <c r="B198" t="s">
        <v>147</v>
      </c>
      <c r="C198">
        <v>1</v>
      </c>
      <c r="D198">
        <v>1</v>
      </c>
    </row>
    <row r="199" spans="1:4" x14ac:dyDescent="0.2">
      <c r="A199" t="s">
        <v>290</v>
      </c>
      <c r="B199" t="s">
        <v>80</v>
      </c>
      <c r="C199">
        <v>0</v>
      </c>
      <c r="D199">
        <v>1</v>
      </c>
    </row>
    <row r="200" spans="1:4" x14ac:dyDescent="0.2">
      <c r="A200" t="s">
        <v>291</v>
      </c>
      <c r="B200" t="s">
        <v>74</v>
      </c>
      <c r="C200">
        <v>0</v>
      </c>
      <c r="D200">
        <v>0</v>
      </c>
    </row>
    <row r="201" spans="1:4" x14ac:dyDescent="0.2">
      <c r="A201" t="s">
        <v>292</v>
      </c>
      <c r="B201" t="s">
        <v>38</v>
      </c>
      <c r="C201">
        <v>1</v>
      </c>
      <c r="D201">
        <v>0</v>
      </c>
    </row>
    <row r="202" spans="1:4" x14ac:dyDescent="0.2">
      <c r="A202" t="s">
        <v>293</v>
      </c>
      <c r="B202" t="s">
        <v>294</v>
      </c>
      <c r="C202">
        <v>1</v>
      </c>
      <c r="D202">
        <v>1</v>
      </c>
    </row>
    <row r="203" spans="1:4" x14ac:dyDescent="0.2">
      <c r="A203" t="s">
        <v>295</v>
      </c>
      <c r="B203" t="s">
        <v>230</v>
      </c>
      <c r="C203">
        <v>0</v>
      </c>
      <c r="D203">
        <v>1</v>
      </c>
    </row>
    <row r="204" spans="1:4" x14ac:dyDescent="0.2">
      <c r="A204" t="s">
        <v>296</v>
      </c>
      <c r="B204" t="s">
        <v>99</v>
      </c>
      <c r="C204">
        <v>1</v>
      </c>
      <c r="D204">
        <v>1</v>
      </c>
    </row>
    <row r="205" spans="1:4" x14ac:dyDescent="0.2">
      <c r="A205" t="s">
        <v>297</v>
      </c>
      <c r="B205" t="s">
        <v>141</v>
      </c>
      <c r="C205">
        <v>1</v>
      </c>
      <c r="D205">
        <v>1</v>
      </c>
    </row>
    <row r="206" spans="1:4" x14ac:dyDescent="0.2">
      <c r="A206" t="s">
        <v>298</v>
      </c>
      <c r="B206" t="s">
        <v>194</v>
      </c>
      <c r="C206">
        <v>1</v>
      </c>
      <c r="D206">
        <v>1</v>
      </c>
    </row>
    <row r="207" spans="1:4" x14ac:dyDescent="0.2">
      <c r="A207" t="s">
        <v>299</v>
      </c>
      <c r="B207" t="s">
        <v>5</v>
      </c>
      <c r="C207">
        <v>0</v>
      </c>
      <c r="D207">
        <v>1</v>
      </c>
    </row>
    <row r="208" spans="1:4" x14ac:dyDescent="0.2">
      <c r="A208" t="s">
        <v>300</v>
      </c>
      <c r="B208" t="s">
        <v>301</v>
      </c>
      <c r="C208">
        <v>1</v>
      </c>
      <c r="D208">
        <v>1</v>
      </c>
    </row>
    <row r="209" spans="1:4" x14ac:dyDescent="0.2">
      <c r="A209" t="s">
        <v>302</v>
      </c>
      <c r="B209" t="s">
        <v>34</v>
      </c>
      <c r="C209">
        <v>1</v>
      </c>
      <c r="D209">
        <v>0</v>
      </c>
    </row>
    <row r="210" spans="1:4" x14ac:dyDescent="0.2">
      <c r="A210" t="s">
        <v>253</v>
      </c>
      <c r="B210" t="s">
        <v>232</v>
      </c>
      <c r="C210">
        <v>1</v>
      </c>
      <c r="D210">
        <v>1</v>
      </c>
    </row>
    <row r="211" spans="1:4" x14ac:dyDescent="0.2">
      <c r="A211" t="s">
        <v>303</v>
      </c>
      <c r="B211" t="s">
        <v>21</v>
      </c>
      <c r="C211">
        <v>1</v>
      </c>
      <c r="D211">
        <v>1</v>
      </c>
    </row>
    <row r="212" spans="1:4" x14ac:dyDescent="0.2">
      <c r="A212" t="s">
        <v>304</v>
      </c>
      <c r="B212" t="s">
        <v>280</v>
      </c>
      <c r="C212">
        <v>0</v>
      </c>
      <c r="D212">
        <v>1</v>
      </c>
    </row>
    <row r="213" spans="1:4" x14ac:dyDescent="0.2">
      <c r="A213" t="s">
        <v>305</v>
      </c>
      <c r="B213" t="s">
        <v>194</v>
      </c>
      <c r="C213">
        <v>0</v>
      </c>
      <c r="D213">
        <v>0</v>
      </c>
    </row>
    <row r="214" spans="1:4" x14ac:dyDescent="0.2">
      <c r="A214" t="s">
        <v>306</v>
      </c>
      <c r="B214" t="s">
        <v>19</v>
      </c>
      <c r="C214">
        <v>0</v>
      </c>
      <c r="D214">
        <v>1</v>
      </c>
    </row>
    <row r="215" spans="1:4" x14ac:dyDescent="0.2">
      <c r="A215" t="s">
        <v>307</v>
      </c>
      <c r="B215" t="s">
        <v>161</v>
      </c>
      <c r="C215">
        <v>1</v>
      </c>
      <c r="D215">
        <v>1</v>
      </c>
    </row>
    <row r="216" spans="1:4" x14ac:dyDescent="0.2">
      <c r="A216" t="s">
        <v>308</v>
      </c>
      <c r="B216" t="s">
        <v>135</v>
      </c>
      <c r="C216">
        <v>1</v>
      </c>
      <c r="D216">
        <v>1</v>
      </c>
    </row>
    <row r="217" spans="1:4" x14ac:dyDescent="0.2">
      <c r="A217" t="s">
        <v>309</v>
      </c>
      <c r="B217" t="s">
        <v>96</v>
      </c>
      <c r="C217">
        <v>0</v>
      </c>
      <c r="D217">
        <v>1</v>
      </c>
    </row>
    <row r="218" spans="1:4" x14ac:dyDescent="0.2">
      <c r="A218" t="s">
        <v>310</v>
      </c>
      <c r="B218" t="s">
        <v>213</v>
      </c>
      <c r="C218">
        <v>1</v>
      </c>
      <c r="D218">
        <v>1</v>
      </c>
    </row>
    <row r="219" spans="1:4" x14ac:dyDescent="0.2">
      <c r="A219" t="s">
        <v>311</v>
      </c>
      <c r="B219" t="s">
        <v>141</v>
      </c>
      <c r="C219">
        <v>0</v>
      </c>
      <c r="D219">
        <v>1</v>
      </c>
    </row>
    <row r="220" spans="1:4" x14ac:dyDescent="0.2">
      <c r="A220" t="s">
        <v>312</v>
      </c>
      <c r="B220" t="s">
        <v>135</v>
      </c>
      <c r="C220">
        <v>0</v>
      </c>
      <c r="D220">
        <v>1</v>
      </c>
    </row>
    <row r="221" spans="1:4" x14ac:dyDescent="0.2">
      <c r="A221" t="s">
        <v>313</v>
      </c>
      <c r="B221" t="s">
        <v>86</v>
      </c>
      <c r="C221">
        <v>1</v>
      </c>
      <c r="D221">
        <v>1</v>
      </c>
    </row>
    <row r="222" spans="1:4" x14ac:dyDescent="0.2">
      <c r="A222" t="s">
        <v>314</v>
      </c>
      <c r="B222" t="s">
        <v>273</v>
      </c>
      <c r="C222">
        <v>1</v>
      </c>
      <c r="D222">
        <v>0</v>
      </c>
    </row>
    <row r="223" spans="1:4" x14ac:dyDescent="0.2">
      <c r="A223" t="s">
        <v>315</v>
      </c>
      <c r="B223" t="s">
        <v>294</v>
      </c>
      <c r="C223">
        <v>1</v>
      </c>
      <c r="D223">
        <v>0</v>
      </c>
    </row>
    <row r="224" spans="1:4" x14ac:dyDescent="0.2">
      <c r="A224" t="s">
        <v>316</v>
      </c>
      <c r="B224" t="s">
        <v>82</v>
      </c>
      <c r="C224">
        <v>0</v>
      </c>
      <c r="D224">
        <v>0</v>
      </c>
    </row>
    <row r="225" spans="1:4" x14ac:dyDescent="0.2">
      <c r="A225" t="s">
        <v>317</v>
      </c>
      <c r="B225" t="s">
        <v>29</v>
      </c>
      <c r="C225">
        <v>1</v>
      </c>
      <c r="D225">
        <v>0</v>
      </c>
    </row>
    <row r="226" spans="1:4" x14ac:dyDescent="0.2">
      <c r="A226" t="s">
        <v>318</v>
      </c>
      <c r="B226" t="s">
        <v>74</v>
      </c>
      <c r="C226">
        <v>0</v>
      </c>
      <c r="D226">
        <v>0</v>
      </c>
    </row>
    <row r="227" spans="1:4" x14ac:dyDescent="0.2">
      <c r="A227" t="s">
        <v>319</v>
      </c>
      <c r="B227" t="s">
        <v>320</v>
      </c>
      <c r="C227">
        <v>1</v>
      </c>
      <c r="D227">
        <v>1</v>
      </c>
    </row>
    <row r="228" spans="1:4" x14ac:dyDescent="0.2">
      <c r="A228" t="s">
        <v>321</v>
      </c>
      <c r="B228" t="s">
        <v>105</v>
      </c>
      <c r="C228">
        <v>0</v>
      </c>
      <c r="D228">
        <v>1</v>
      </c>
    </row>
    <row r="229" spans="1:4" x14ac:dyDescent="0.2">
      <c r="A229" t="s">
        <v>322</v>
      </c>
      <c r="B229" t="s">
        <v>147</v>
      </c>
      <c r="C229">
        <v>0</v>
      </c>
      <c r="D229">
        <v>0</v>
      </c>
    </row>
    <row r="230" spans="1:4" x14ac:dyDescent="0.2">
      <c r="A230" t="s">
        <v>323</v>
      </c>
      <c r="B230" t="s">
        <v>25</v>
      </c>
      <c r="C230">
        <v>0</v>
      </c>
      <c r="D230">
        <v>0</v>
      </c>
    </row>
    <row r="231" spans="1:4" x14ac:dyDescent="0.2">
      <c r="A231" t="s">
        <v>324</v>
      </c>
      <c r="B231" t="s">
        <v>216</v>
      </c>
      <c r="C231">
        <v>1</v>
      </c>
      <c r="D231">
        <v>0</v>
      </c>
    </row>
    <row r="232" spans="1:4" x14ac:dyDescent="0.2">
      <c r="A232" t="s">
        <v>325</v>
      </c>
      <c r="B232" t="s">
        <v>326</v>
      </c>
      <c r="C232">
        <v>1</v>
      </c>
      <c r="D232">
        <v>0</v>
      </c>
    </row>
    <row r="233" spans="1:4" x14ac:dyDescent="0.2">
      <c r="A233" t="s">
        <v>327</v>
      </c>
      <c r="B233" t="s">
        <v>13</v>
      </c>
      <c r="C233">
        <v>0</v>
      </c>
      <c r="D233">
        <v>1</v>
      </c>
    </row>
    <row r="234" spans="1:4" x14ac:dyDescent="0.2">
      <c r="A234" t="s">
        <v>328</v>
      </c>
      <c r="B234" t="s">
        <v>19</v>
      </c>
      <c r="C234">
        <v>1</v>
      </c>
      <c r="D234">
        <v>0</v>
      </c>
    </row>
    <row r="235" spans="1:4" x14ac:dyDescent="0.2">
      <c r="A235" t="s">
        <v>329</v>
      </c>
      <c r="B235" t="s">
        <v>130</v>
      </c>
      <c r="C235">
        <v>1</v>
      </c>
      <c r="D235">
        <v>1</v>
      </c>
    </row>
    <row r="236" spans="1:4" x14ac:dyDescent="0.2">
      <c r="A236" t="s">
        <v>330</v>
      </c>
      <c r="B236" t="s">
        <v>149</v>
      </c>
      <c r="C236">
        <v>1</v>
      </c>
      <c r="D236">
        <v>1</v>
      </c>
    </row>
    <row r="237" spans="1:4" x14ac:dyDescent="0.2">
      <c r="A237" t="s">
        <v>331</v>
      </c>
      <c r="B237" t="s">
        <v>332</v>
      </c>
      <c r="C237">
        <v>0</v>
      </c>
      <c r="D237">
        <v>1</v>
      </c>
    </row>
    <row r="238" spans="1:4" x14ac:dyDescent="0.2">
      <c r="A238" t="s">
        <v>333</v>
      </c>
      <c r="B238" t="s">
        <v>96</v>
      </c>
      <c r="C238">
        <v>0</v>
      </c>
      <c r="D238">
        <v>1</v>
      </c>
    </row>
    <row r="239" spans="1:4" x14ac:dyDescent="0.2">
      <c r="A239" t="s">
        <v>334</v>
      </c>
      <c r="B239" t="s">
        <v>184</v>
      </c>
      <c r="C239">
        <v>1</v>
      </c>
      <c r="D239">
        <v>1</v>
      </c>
    </row>
    <row r="240" spans="1:4" x14ac:dyDescent="0.2">
      <c r="A240" t="s">
        <v>335</v>
      </c>
      <c r="B240" t="s">
        <v>84</v>
      </c>
      <c r="C240">
        <v>1</v>
      </c>
      <c r="D240">
        <v>0</v>
      </c>
    </row>
    <row r="241" spans="1:4" x14ac:dyDescent="0.2">
      <c r="A241" t="s">
        <v>336</v>
      </c>
      <c r="B241" t="s">
        <v>130</v>
      </c>
      <c r="C241">
        <v>0</v>
      </c>
      <c r="D241">
        <v>1</v>
      </c>
    </row>
    <row r="242" spans="1:4" x14ac:dyDescent="0.2">
      <c r="A242" t="s">
        <v>337</v>
      </c>
      <c r="B242" t="s">
        <v>82</v>
      </c>
      <c r="C242">
        <v>1</v>
      </c>
      <c r="D242">
        <v>1</v>
      </c>
    </row>
    <row r="243" spans="1:4" x14ac:dyDescent="0.2">
      <c r="A243" t="s">
        <v>338</v>
      </c>
      <c r="B243" t="s">
        <v>320</v>
      </c>
      <c r="C243">
        <v>0</v>
      </c>
      <c r="D243">
        <v>0</v>
      </c>
    </row>
    <row r="244" spans="1:4" x14ac:dyDescent="0.2">
      <c r="A244" t="s">
        <v>339</v>
      </c>
      <c r="B244" t="s">
        <v>228</v>
      </c>
      <c r="C244">
        <v>0</v>
      </c>
      <c r="D244">
        <v>1</v>
      </c>
    </row>
    <row r="245" spans="1:4" x14ac:dyDescent="0.2">
      <c r="A245" t="s">
        <v>340</v>
      </c>
      <c r="B245" t="s">
        <v>341</v>
      </c>
      <c r="C245">
        <v>1</v>
      </c>
      <c r="D245">
        <v>0</v>
      </c>
    </row>
    <row r="246" spans="1:4" x14ac:dyDescent="0.2">
      <c r="A246" t="s">
        <v>342</v>
      </c>
      <c r="B246" t="s">
        <v>280</v>
      </c>
      <c r="C246">
        <v>1</v>
      </c>
      <c r="D246">
        <v>1</v>
      </c>
    </row>
    <row r="247" spans="1:4" x14ac:dyDescent="0.2">
      <c r="A247" t="s">
        <v>343</v>
      </c>
      <c r="B247" t="s">
        <v>218</v>
      </c>
      <c r="C247">
        <v>0</v>
      </c>
      <c r="D247">
        <v>0</v>
      </c>
    </row>
    <row r="248" spans="1:4" x14ac:dyDescent="0.2">
      <c r="A248" t="s">
        <v>195</v>
      </c>
      <c r="B248" t="s">
        <v>196</v>
      </c>
      <c r="C248">
        <v>1</v>
      </c>
      <c r="D248">
        <v>0</v>
      </c>
    </row>
    <row r="249" spans="1:4" x14ac:dyDescent="0.2">
      <c r="A249" t="s">
        <v>344</v>
      </c>
      <c r="B249" t="s">
        <v>191</v>
      </c>
      <c r="C249">
        <v>1</v>
      </c>
      <c r="D249">
        <v>1</v>
      </c>
    </row>
    <row r="250" spans="1:4" x14ac:dyDescent="0.2">
      <c r="A250" t="s">
        <v>345</v>
      </c>
      <c r="B250" t="s">
        <v>27</v>
      </c>
      <c r="C250">
        <v>0</v>
      </c>
      <c r="D250">
        <v>0</v>
      </c>
    </row>
    <row r="251" spans="1:4" x14ac:dyDescent="0.2">
      <c r="A251" t="s">
        <v>346</v>
      </c>
      <c r="B251" t="s">
        <v>112</v>
      </c>
      <c r="C251">
        <v>1</v>
      </c>
      <c r="D251">
        <v>0</v>
      </c>
    </row>
    <row r="252" spans="1:4" x14ac:dyDescent="0.2">
      <c r="A252" t="s">
        <v>347</v>
      </c>
      <c r="B252" t="s">
        <v>109</v>
      </c>
      <c r="C252">
        <v>0</v>
      </c>
      <c r="D252">
        <v>1</v>
      </c>
    </row>
    <row r="253" spans="1:4" x14ac:dyDescent="0.2">
      <c r="A253" t="s">
        <v>348</v>
      </c>
      <c r="B253" t="s">
        <v>114</v>
      </c>
      <c r="C253">
        <v>1</v>
      </c>
      <c r="D253">
        <v>1</v>
      </c>
    </row>
    <row r="254" spans="1:4" x14ac:dyDescent="0.2">
      <c r="A254" t="s">
        <v>349</v>
      </c>
      <c r="B254" t="s">
        <v>216</v>
      </c>
      <c r="C254">
        <v>1</v>
      </c>
      <c r="D254">
        <v>0</v>
      </c>
    </row>
    <row r="255" spans="1:4" x14ac:dyDescent="0.2">
      <c r="A255" t="s">
        <v>350</v>
      </c>
      <c r="B255" t="s">
        <v>56</v>
      </c>
      <c r="C255">
        <v>1</v>
      </c>
      <c r="D255">
        <v>0</v>
      </c>
    </row>
    <row r="256" spans="1:4" x14ac:dyDescent="0.2">
      <c r="A256" t="s">
        <v>351</v>
      </c>
      <c r="B256" t="s">
        <v>126</v>
      </c>
      <c r="C256">
        <v>1</v>
      </c>
      <c r="D256">
        <v>1</v>
      </c>
    </row>
    <row r="257" spans="1:4" x14ac:dyDescent="0.2">
      <c r="A257" t="s">
        <v>352</v>
      </c>
      <c r="B257" t="s">
        <v>251</v>
      </c>
      <c r="C257">
        <v>1</v>
      </c>
      <c r="D257">
        <v>1</v>
      </c>
    </row>
    <row r="258" spans="1:4" x14ac:dyDescent="0.2">
      <c r="A258" t="s">
        <v>353</v>
      </c>
      <c r="B258" t="s">
        <v>11</v>
      </c>
      <c r="C258">
        <v>0</v>
      </c>
      <c r="D258">
        <v>1</v>
      </c>
    </row>
    <row r="259" spans="1:4" x14ac:dyDescent="0.2">
      <c r="A259" t="s">
        <v>354</v>
      </c>
      <c r="B259" t="s">
        <v>152</v>
      </c>
      <c r="C259">
        <v>1</v>
      </c>
      <c r="D259">
        <v>0</v>
      </c>
    </row>
    <row r="260" spans="1:4" x14ac:dyDescent="0.2">
      <c r="A260" t="s">
        <v>355</v>
      </c>
      <c r="B260" t="s">
        <v>42</v>
      </c>
      <c r="C260">
        <v>0</v>
      </c>
      <c r="D260">
        <v>1</v>
      </c>
    </row>
    <row r="261" spans="1:4" x14ac:dyDescent="0.2">
      <c r="A261" t="s">
        <v>356</v>
      </c>
      <c r="B261" t="s">
        <v>105</v>
      </c>
      <c r="C261">
        <v>0</v>
      </c>
      <c r="D261">
        <v>1</v>
      </c>
    </row>
    <row r="262" spans="1:4" x14ac:dyDescent="0.2">
      <c r="A262" t="s">
        <v>357</v>
      </c>
      <c r="B262" t="s">
        <v>49</v>
      </c>
      <c r="C262">
        <v>1</v>
      </c>
      <c r="D262">
        <v>1</v>
      </c>
    </row>
    <row r="263" spans="1:4" x14ac:dyDescent="0.2">
      <c r="A263" t="s">
        <v>358</v>
      </c>
      <c r="B263" t="s">
        <v>188</v>
      </c>
      <c r="C263">
        <v>1</v>
      </c>
      <c r="D263">
        <v>1</v>
      </c>
    </row>
    <row r="264" spans="1:4" x14ac:dyDescent="0.2">
      <c r="A264" t="s">
        <v>359</v>
      </c>
      <c r="B264" t="s">
        <v>144</v>
      </c>
      <c r="C264">
        <v>1</v>
      </c>
      <c r="D264">
        <v>1</v>
      </c>
    </row>
    <row r="265" spans="1:4" x14ac:dyDescent="0.2">
      <c r="A265" t="s">
        <v>360</v>
      </c>
      <c r="B265" t="s">
        <v>89</v>
      </c>
      <c r="C265">
        <v>1</v>
      </c>
      <c r="D265">
        <v>0</v>
      </c>
    </row>
    <row r="266" spans="1:4" x14ac:dyDescent="0.2">
      <c r="A266" t="s">
        <v>361</v>
      </c>
      <c r="B266" t="s">
        <v>362</v>
      </c>
      <c r="C266">
        <v>1</v>
      </c>
      <c r="D266">
        <v>1</v>
      </c>
    </row>
    <row r="267" spans="1:4" x14ac:dyDescent="0.2">
      <c r="A267" t="s">
        <v>363</v>
      </c>
      <c r="B267" t="s">
        <v>112</v>
      </c>
      <c r="C267">
        <v>0</v>
      </c>
      <c r="D267">
        <v>0</v>
      </c>
    </row>
    <row r="268" spans="1:4" x14ac:dyDescent="0.2">
      <c r="A268" t="s">
        <v>364</v>
      </c>
      <c r="B268" t="s">
        <v>96</v>
      </c>
      <c r="C268">
        <v>1</v>
      </c>
      <c r="D268">
        <v>0</v>
      </c>
    </row>
    <row r="269" spans="1:4" x14ac:dyDescent="0.2">
      <c r="A269" t="s">
        <v>365</v>
      </c>
      <c r="B269" t="s">
        <v>117</v>
      </c>
      <c r="C269">
        <v>0</v>
      </c>
      <c r="D269">
        <v>0</v>
      </c>
    </row>
    <row r="270" spans="1:4" x14ac:dyDescent="0.2">
      <c r="A270" t="s">
        <v>366</v>
      </c>
      <c r="B270" t="s">
        <v>367</v>
      </c>
      <c r="C270">
        <v>1</v>
      </c>
      <c r="D270">
        <v>0</v>
      </c>
    </row>
    <row r="271" spans="1:4" x14ac:dyDescent="0.2">
      <c r="A271" t="s">
        <v>368</v>
      </c>
      <c r="B271" t="s">
        <v>17</v>
      </c>
      <c r="C271">
        <v>0</v>
      </c>
      <c r="D271">
        <v>0</v>
      </c>
    </row>
    <row r="272" spans="1:4" x14ac:dyDescent="0.2">
      <c r="A272" t="s">
        <v>369</v>
      </c>
      <c r="B272" t="s">
        <v>341</v>
      </c>
      <c r="C272">
        <v>1</v>
      </c>
      <c r="D272">
        <v>1</v>
      </c>
    </row>
    <row r="273" spans="1:4" x14ac:dyDescent="0.2">
      <c r="A273" t="s">
        <v>370</v>
      </c>
      <c r="B273" t="s">
        <v>332</v>
      </c>
      <c r="C273">
        <v>1</v>
      </c>
      <c r="D273">
        <v>0</v>
      </c>
    </row>
    <row r="274" spans="1:4" x14ac:dyDescent="0.2">
      <c r="A274" t="s">
        <v>371</v>
      </c>
      <c r="B274" t="s">
        <v>29</v>
      </c>
      <c r="C274">
        <v>1</v>
      </c>
      <c r="D274">
        <v>0</v>
      </c>
    </row>
    <row r="275" spans="1:4" x14ac:dyDescent="0.2">
      <c r="A275" t="s">
        <v>372</v>
      </c>
      <c r="B275" t="s">
        <v>99</v>
      </c>
      <c r="C275">
        <v>1</v>
      </c>
      <c r="D275">
        <v>1</v>
      </c>
    </row>
    <row r="276" spans="1:4" x14ac:dyDescent="0.2">
      <c r="A276" t="s">
        <v>373</v>
      </c>
      <c r="B276" t="s">
        <v>11</v>
      </c>
      <c r="C276">
        <v>0</v>
      </c>
      <c r="D276">
        <v>0</v>
      </c>
    </row>
    <row r="277" spans="1:4" x14ac:dyDescent="0.2">
      <c r="A277" t="s">
        <v>374</v>
      </c>
      <c r="B277" t="s">
        <v>216</v>
      </c>
      <c r="C277">
        <v>0</v>
      </c>
      <c r="D277">
        <v>0</v>
      </c>
    </row>
    <row r="278" spans="1:4" x14ac:dyDescent="0.2">
      <c r="A278" t="s">
        <v>375</v>
      </c>
      <c r="B278" t="s">
        <v>31</v>
      </c>
      <c r="C278">
        <v>1</v>
      </c>
      <c r="D278">
        <v>0</v>
      </c>
    </row>
    <row r="279" spans="1:4" x14ac:dyDescent="0.2">
      <c r="A279" t="s">
        <v>376</v>
      </c>
      <c r="B279" t="s">
        <v>9</v>
      </c>
      <c r="C279">
        <v>0</v>
      </c>
      <c r="D279">
        <v>0</v>
      </c>
    </row>
    <row r="280" spans="1:4" x14ac:dyDescent="0.2">
      <c r="A280" t="s">
        <v>377</v>
      </c>
      <c r="B280" t="s">
        <v>58</v>
      </c>
      <c r="C280">
        <v>0</v>
      </c>
      <c r="D280">
        <v>0</v>
      </c>
    </row>
    <row r="281" spans="1:4" x14ac:dyDescent="0.2">
      <c r="A281" t="s">
        <v>378</v>
      </c>
      <c r="B281" t="s">
        <v>218</v>
      </c>
      <c r="C281">
        <v>0</v>
      </c>
      <c r="D281">
        <v>1</v>
      </c>
    </row>
    <row r="282" spans="1:4" x14ac:dyDescent="0.2">
      <c r="A282" t="s">
        <v>379</v>
      </c>
      <c r="B282" t="s">
        <v>251</v>
      </c>
      <c r="C282">
        <v>0</v>
      </c>
      <c r="D282">
        <v>0</v>
      </c>
    </row>
    <row r="283" spans="1:4" x14ac:dyDescent="0.2">
      <c r="A283" t="s">
        <v>380</v>
      </c>
      <c r="B283" t="s">
        <v>280</v>
      </c>
      <c r="C283">
        <v>1</v>
      </c>
      <c r="D283">
        <v>1</v>
      </c>
    </row>
    <row r="284" spans="1:4" x14ac:dyDescent="0.2">
      <c r="A284" t="s">
        <v>381</v>
      </c>
      <c r="B284" t="s">
        <v>201</v>
      </c>
      <c r="C284">
        <v>0</v>
      </c>
      <c r="D284">
        <v>0</v>
      </c>
    </row>
    <row r="285" spans="1:4" x14ac:dyDescent="0.2">
      <c r="A285" t="s">
        <v>382</v>
      </c>
      <c r="B285" t="s">
        <v>86</v>
      </c>
      <c r="C285">
        <v>0</v>
      </c>
      <c r="D285">
        <v>1</v>
      </c>
    </row>
    <row r="286" spans="1:4" x14ac:dyDescent="0.2">
      <c r="A286" t="s">
        <v>383</v>
      </c>
      <c r="B286" t="s">
        <v>240</v>
      </c>
      <c r="C286">
        <v>0</v>
      </c>
      <c r="D286">
        <v>1</v>
      </c>
    </row>
    <row r="287" spans="1:4" x14ac:dyDescent="0.2">
      <c r="A287" t="s">
        <v>384</v>
      </c>
      <c r="B287" t="s">
        <v>326</v>
      </c>
      <c r="C287">
        <v>0</v>
      </c>
      <c r="D287">
        <v>1</v>
      </c>
    </row>
    <row r="288" spans="1:4" x14ac:dyDescent="0.2">
      <c r="A288" t="s">
        <v>385</v>
      </c>
      <c r="B288" t="s">
        <v>326</v>
      </c>
      <c r="C288">
        <v>1</v>
      </c>
      <c r="D288">
        <v>1</v>
      </c>
    </row>
    <row r="289" spans="1:4" x14ac:dyDescent="0.2">
      <c r="A289" t="s">
        <v>386</v>
      </c>
      <c r="B289" t="s">
        <v>236</v>
      </c>
      <c r="C289">
        <v>0</v>
      </c>
      <c r="D289">
        <v>0</v>
      </c>
    </row>
    <row r="290" spans="1:4" x14ac:dyDescent="0.2">
      <c r="A290" t="s">
        <v>387</v>
      </c>
      <c r="B290" t="s">
        <v>78</v>
      </c>
      <c r="C290">
        <v>1</v>
      </c>
      <c r="D290">
        <v>1</v>
      </c>
    </row>
    <row r="291" spans="1:4" x14ac:dyDescent="0.2">
      <c r="A291" t="s">
        <v>388</v>
      </c>
      <c r="B291" t="s">
        <v>201</v>
      </c>
      <c r="C291">
        <v>1</v>
      </c>
      <c r="D291">
        <v>0</v>
      </c>
    </row>
    <row r="292" spans="1:4" x14ac:dyDescent="0.2">
      <c r="A292" t="s">
        <v>389</v>
      </c>
      <c r="B292" t="s">
        <v>23</v>
      </c>
      <c r="C292">
        <v>0</v>
      </c>
      <c r="D292">
        <v>0</v>
      </c>
    </row>
    <row r="293" spans="1:4" x14ac:dyDescent="0.2">
      <c r="A293" t="s">
        <v>390</v>
      </c>
      <c r="B293" t="s">
        <v>230</v>
      </c>
      <c r="C293">
        <v>1</v>
      </c>
      <c r="D293">
        <v>0</v>
      </c>
    </row>
    <row r="294" spans="1:4" x14ac:dyDescent="0.2">
      <c r="A294" t="s">
        <v>391</v>
      </c>
      <c r="B294" t="s">
        <v>341</v>
      </c>
      <c r="C294">
        <v>0</v>
      </c>
      <c r="D294">
        <v>1</v>
      </c>
    </row>
    <row r="295" spans="1:4" x14ac:dyDescent="0.2">
      <c r="A295" t="s">
        <v>392</v>
      </c>
      <c r="B295" t="s">
        <v>126</v>
      </c>
      <c r="C295">
        <v>1</v>
      </c>
      <c r="D295">
        <v>1</v>
      </c>
    </row>
    <row r="296" spans="1:4" x14ac:dyDescent="0.2">
      <c r="A296" t="s">
        <v>393</v>
      </c>
      <c r="B296" t="s">
        <v>103</v>
      </c>
      <c r="C296">
        <v>1</v>
      </c>
      <c r="D296">
        <v>0</v>
      </c>
    </row>
    <row r="297" spans="1:4" x14ac:dyDescent="0.2">
      <c r="A297" t="s">
        <v>394</v>
      </c>
      <c r="B297" t="s">
        <v>170</v>
      </c>
      <c r="C297">
        <v>1</v>
      </c>
      <c r="D297">
        <v>1</v>
      </c>
    </row>
    <row r="298" spans="1:4" x14ac:dyDescent="0.2">
      <c r="A298" t="s">
        <v>395</v>
      </c>
      <c r="B298" t="s">
        <v>240</v>
      </c>
      <c r="C298">
        <v>1</v>
      </c>
      <c r="D298">
        <v>1</v>
      </c>
    </row>
    <row r="299" spans="1:4" x14ac:dyDescent="0.2">
      <c r="A299" t="s">
        <v>396</v>
      </c>
      <c r="B299" t="s">
        <v>23</v>
      </c>
      <c r="C299">
        <v>0</v>
      </c>
      <c r="D299">
        <v>1</v>
      </c>
    </row>
    <row r="300" spans="1:4" x14ac:dyDescent="0.2">
      <c r="A300" t="s">
        <v>397</v>
      </c>
      <c r="B300" t="s">
        <v>124</v>
      </c>
      <c r="C300">
        <v>1</v>
      </c>
      <c r="D300">
        <v>0</v>
      </c>
    </row>
    <row r="301" spans="1:4" x14ac:dyDescent="0.2">
      <c r="A301" t="s">
        <v>398</v>
      </c>
      <c r="B301" t="s">
        <v>154</v>
      </c>
      <c r="C301">
        <v>1</v>
      </c>
      <c r="D301">
        <v>1</v>
      </c>
    </row>
    <row r="302" spans="1:4" x14ac:dyDescent="0.2">
      <c r="A302" t="s">
        <v>399</v>
      </c>
      <c r="B302" t="s">
        <v>13</v>
      </c>
      <c r="C302">
        <v>0</v>
      </c>
      <c r="D302">
        <v>0</v>
      </c>
    </row>
    <row r="303" spans="1:4" x14ac:dyDescent="0.2">
      <c r="A303" t="s">
        <v>400</v>
      </c>
      <c r="B303" t="s">
        <v>80</v>
      </c>
      <c r="C303">
        <v>0</v>
      </c>
      <c r="D303">
        <v>0</v>
      </c>
    </row>
    <row r="304" spans="1:4" x14ac:dyDescent="0.2">
      <c r="A304" t="s">
        <v>401</v>
      </c>
      <c r="B304" t="s">
        <v>154</v>
      </c>
      <c r="C304">
        <v>1</v>
      </c>
      <c r="D304">
        <v>1</v>
      </c>
    </row>
    <row r="305" spans="1:4" x14ac:dyDescent="0.2">
      <c r="A305" t="s">
        <v>402</v>
      </c>
      <c r="B305" t="s">
        <v>367</v>
      </c>
      <c r="C305">
        <v>1</v>
      </c>
      <c r="D305">
        <v>1</v>
      </c>
    </row>
    <row r="306" spans="1:4" x14ac:dyDescent="0.2">
      <c r="A306" t="s">
        <v>403</v>
      </c>
      <c r="B306" t="s">
        <v>362</v>
      </c>
      <c r="C306">
        <v>1</v>
      </c>
      <c r="D306">
        <v>1</v>
      </c>
    </row>
    <row r="307" spans="1:4" x14ac:dyDescent="0.2">
      <c r="A307" t="s">
        <v>404</v>
      </c>
      <c r="B307" t="s">
        <v>51</v>
      </c>
      <c r="C307">
        <v>1</v>
      </c>
      <c r="D307">
        <v>0</v>
      </c>
    </row>
    <row r="308" spans="1:4" x14ac:dyDescent="0.2">
      <c r="A308" t="s">
        <v>405</v>
      </c>
      <c r="B308" t="s">
        <v>62</v>
      </c>
      <c r="C308">
        <v>0</v>
      </c>
      <c r="D308">
        <v>1</v>
      </c>
    </row>
    <row r="309" spans="1:4" x14ac:dyDescent="0.2">
      <c r="A309" t="s">
        <v>406</v>
      </c>
      <c r="B309" t="s">
        <v>362</v>
      </c>
      <c r="C309">
        <v>0</v>
      </c>
      <c r="D309">
        <v>1</v>
      </c>
    </row>
    <row r="310" spans="1:4" x14ac:dyDescent="0.2">
      <c r="A310" t="s">
        <v>407</v>
      </c>
      <c r="B310" t="s">
        <v>44</v>
      </c>
      <c r="C310">
        <v>1</v>
      </c>
      <c r="D310">
        <v>1</v>
      </c>
    </row>
    <row r="311" spans="1:4" x14ac:dyDescent="0.2">
      <c r="A311" t="s">
        <v>408</v>
      </c>
      <c r="B311" t="s">
        <v>54</v>
      </c>
      <c r="C311">
        <v>1</v>
      </c>
      <c r="D311">
        <v>0</v>
      </c>
    </row>
    <row r="312" spans="1:4" x14ac:dyDescent="0.2">
      <c r="A312" t="s">
        <v>409</v>
      </c>
      <c r="B312" t="s">
        <v>301</v>
      </c>
      <c r="C312">
        <v>1</v>
      </c>
      <c r="D312">
        <v>1</v>
      </c>
    </row>
    <row r="313" spans="1:4" x14ac:dyDescent="0.2">
      <c r="A313" t="s">
        <v>410</v>
      </c>
      <c r="B313" t="s">
        <v>58</v>
      </c>
      <c r="C313">
        <v>1</v>
      </c>
      <c r="D313">
        <v>0</v>
      </c>
    </row>
    <row r="314" spans="1:4" x14ac:dyDescent="0.2">
      <c r="A314" t="s">
        <v>411</v>
      </c>
      <c r="B314" t="s">
        <v>117</v>
      </c>
      <c r="C314">
        <v>1</v>
      </c>
      <c r="D314">
        <v>0</v>
      </c>
    </row>
    <row r="315" spans="1:4" x14ac:dyDescent="0.2">
      <c r="A315" t="s">
        <v>412</v>
      </c>
      <c r="B315" t="s">
        <v>341</v>
      </c>
      <c r="C315">
        <v>0</v>
      </c>
      <c r="D315">
        <v>1</v>
      </c>
    </row>
    <row r="316" spans="1:4" x14ac:dyDescent="0.2">
      <c r="A316" t="s">
        <v>413</v>
      </c>
      <c r="B316" t="s">
        <v>69</v>
      </c>
      <c r="C316">
        <v>1</v>
      </c>
      <c r="D316">
        <v>1</v>
      </c>
    </row>
    <row r="317" spans="1:4" x14ac:dyDescent="0.2">
      <c r="A317" t="s">
        <v>414</v>
      </c>
      <c r="B317" t="s">
        <v>78</v>
      </c>
      <c r="C317">
        <v>1</v>
      </c>
      <c r="D317">
        <v>1</v>
      </c>
    </row>
    <row r="318" spans="1:4" x14ac:dyDescent="0.2">
      <c r="A318" t="s">
        <v>415</v>
      </c>
      <c r="B318" t="s">
        <v>152</v>
      </c>
      <c r="C318">
        <v>0</v>
      </c>
      <c r="D318">
        <v>1</v>
      </c>
    </row>
    <row r="319" spans="1:4" x14ac:dyDescent="0.2">
      <c r="A319" t="s">
        <v>416</v>
      </c>
      <c r="B319" t="s">
        <v>15</v>
      </c>
      <c r="C319">
        <v>0</v>
      </c>
      <c r="D319">
        <v>0</v>
      </c>
    </row>
    <row r="320" spans="1:4" x14ac:dyDescent="0.2">
      <c r="A320" t="s">
        <v>417</v>
      </c>
      <c r="B320" t="s">
        <v>117</v>
      </c>
      <c r="C320">
        <v>0</v>
      </c>
      <c r="D320">
        <v>1</v>
      </c>
    </row>
    <row r="321" spans="1:4" x14ac:dyDescent="0.2">
      <c r="A321" t="s">
        <v>418</v>
      </c>
      <c r="B321" t="s">
        <v>107</v>
      </c>
      <c r="C321">
        <v>1</v>
      </c>
      <c r="D321">
        <v>0</v>
      </c>
    </row>
    <row r="322" spans="1:4" x14ac:dyDescent="0.2">
      <c r="A322" t="s">
        <v>419</v>
      </c>
      <c r="B322" t="s">
        <v>294</v>
      </c>
      <c r="C322">
        <v>0</v>
      </c>
      <c r="D322">
        <v>1</v>
      </c>
    </row>
    <row r="323" spans="1:4" x14ac:dyDescent="0.2">
      <c r="A323" t="s">
        <v>420</v>
      </c>
      <c r="B323" t="s">
        <v>362</v>
      </c>
      <c r="C323">
        <v>0</v>
      </c>
      <c r="D323">
        <v>0</v>
      </c>
    </row>
    <row r="324" spans="1:4" x14ac:dyDescent="0.2">
      <c r="A324" t="s">
        <v>421</v>
      </c>
      <c r="B324" t="s">
        <v>144</v>
      </c>
      <c r="C324">
        <v>0</v>
      </c>
      <c r="D324">
        <v>1</v>
      </c>
    </row>
    <row r="325" spans="1:4" x14ac:dyDescent="0.2">
      <c r="A325" t="s">
        <v>422</v>
      </c>
      <c r="B325" t="s">
        <v>9</v>
      </c>
      <c r="C325">
        <v>1</v>
      </c>
      <c r="D325">
        <v>1</v>
      </c>
    </row>
    <row r="326" spans="1:4" x14ac:dyDescent="0.2">
      <c r="A326" t="s">
        <v>423</v>
      </c>
      <c r="B326" t="s">
        <v>86</v>
      </c>
      <c r="C326">
        <v>1</v>
      </c>
      <c r="D326">
        <v>1</v>
      </c>
    </row>
    <row r="327" spans="1:4" x14ac:dyDescent="0.2">
      <c r="A327" t="s">
        <v>424</v>
      </c>
      <c r="B327" t="s">
        <v>220</v>
      </c>
      <c r="C327">
        <v>0</v>
      </c>
      <c r="D327">
        <v>1</v>
      </c>
    </row>
    <row r="328" spans="1:4" x14ac:dyDescent="0.2">
      <c r="A328" t="s">
        <v>425</v>
      </c>
      <c r="B328" t="s">
        <v>152</v>
      </c>
      <c r="C328">
        <v>1</v>
      </c>
      <c r="D328">
        <v>1</v>
      </c>
    </row>
    <row r="329" spans="1:4" x14ac:dyDescent="0.2">
      <c r="A329" t="s">
        <v>426</v>
      </c>
      <c r="B329" t="s">
        <v>56</v>
      </c>
      <c r="C329">
        <v>0</v>
      </c>
      <c r="D329">
        <v>0</v>
      </c>
    </row>
    <row r="330" spans="1:4" x14ac:dyDescent="0.2">
      <c r="A330" t="s">
        <v>427</v>
      </c>
      <c r="B330" t="s">
        <v>15</v>
      </c>
      <c r="C330">
        <v>0</v>
      </c>
      <c r="D330">
        <v>0</v>
      </c>
    </row>
    <row r="331" spans="1:4" x14ac:dyDescent="0.2">
      <c r="A331" t="s">
        <v>428</v>
      </c>
      <c r="B331" t="s">
        <v>69</v>
      </c>
      <c r="C331">
        <v>1</v>
      </c>
      <c r="D331">
        <v>0</v>
      </c>
    </row>
    <row r="332" spans="1:4" x14ac:dyDescent="0.2">
      <c r="A332" t="s">
        <v>429</v>
      </c>
      <c r="B332" t="s">
        <v>196</v>
      </c>
      <c r="C332">
        <v>0</v>
      </c>
      <c r="D332">
        <v>0</v>
      </c>
    </row>
    <row r="333" spans="1:4" x14ac:dyDescent="0.2">
      <c r="A333" t="s">
        <v>430</v>
      </c>
      <c r="B333" t="s">
        <v>94</v>
      </c>
      <c r="C333">
        <v>0</v>
      </c>
      <c r="D333">
        <v>1</v>
      </c>
    </row>
    <row r="334" spans="1:4" x14ac:dyDescent="0.2">
      <c r="A334" t="s">
        <v>431</v>
      </c>
      <c r="B334" t="s">
        <v>301</v>
      </c>
      <c r="C334">
        <v>0</v>
      </c>
      <c r="D334">
        <v>1</v>
      </c>
    </row>
    <row r="335" spans="1:4" x14ac:dyDescent="0.2">
      <c r="A335" t="s">
        <v>432</v>
      </c>
      <c r="B335" t="s">
        <v>170</v>
      </c>
      <c r="C335">
        <v>0</v>
      </c>
      <c r="D335">
        <v>0</v>
      </c>
    </row>
    <row r="336" spans="1:4" x14ac:dyDescent="0.2">
      <c r="A336" t="s">
        <v>433</v>
      </c>
      <c r="B336" t="s">
        <v>220</v>
      </c>
      <c r="C336">
        <v>1</v>
      </c>
      <c r="D336">
        <v>0</v>
      </c>
    </row>
    <row r="337" spans="1:4" x14ac:dyDescent="0.2">
      <c r="A337" t="s">
        <v>434</v>
      </c>
      <c r="B337" t="s">
        <v>149</v>
      </c>
      <c r="C337">
        <v>1</v>
      </c>
      <c r="D337">
        <v>0</v>
      </c>
    </row>
    <row r="338" spans="1:4" x14ac:dyDescent="0.2">
      <c r="A338" t="s">
        <v>435</v>
      </c>
      <c r="B338" t="s">
        <v>147</v>
      </c>
      <c r="C338">
        <v>1</v>
      </c>
      <c r="D338">
        <v>0</v>
      </c>
    </row>
    <row r="339" spans="1:4" x14ac:dyDescent="0.2">
      <c r="A339" t="s">
        <v>436</v>
      </c>
      <c r="B339" t="s">
        <v>246</v>
      </c>
      <c r="C339">
        <v>0</v>
      </c>
      <c r="D339">
        <v>1</v>
      </c>
    </row>
    <row r="340" spans="1:4" x14ac:dyDescent="0.2">
      <c r="A340" t="s">
        <v>437</v>
      </c>
      <c r="B340" t="s">
        <v>203</v>
      </c>
      <c r="C340">
        <v>1</v>
      </c>
      <c r="D340">
        <v>0</v>
      </c>
    </row>
    <row r="341" spans="1:4" x14ac:dyDescent="0.2">
      <c r="A341" t="s">
        <v>438</v>
      </c>
      <c r="B341" t="s">
        <v>122</v>
      </c>
      <c r="C341">
        <v>1</v>
      </c>
      <c r="D341">
        <v>0</v>
      </c>
    </row>
    <row r="342" spans="1:4" x14ac:dyDescent="0.2">
      <c r="A342" t="s">
        <v>439</v>
      </c>
      <c r="B342" t="s">
        <v>251</v>
      </c>
      <c r="C342">
        <v>1</v>
      </c>
      <c r="D342">
        <v>1</v>
      </c>
    </row>
    <row r="343" spans="1:4" x14ac:dyDescent="0.2">
      <c r="A343" t="s">
        <v>440</v>
      </c>
      <c r="B343" t="s">
        <v>184</v>
      </c>
      <c r="C343">
        <v>0</v>
      </c>
      <c r="D343">
        <v>1</v>
      </c>
    </row>
    <row r="344" spans="1:4" x14ac:dyDescent="0.2">
      <c r="A344" t="s">
        <v>441</v>
      </c>
      <c r="B344" t="s">
        <v>367</v>
      </c>
      <c r="C344">
        <v>0</v>
      </c>
      <c r="D344">
        <v>0</v>
      </c>
    </row>
    <row r="345" spans="1:4" x14ac:dyDescent="0.2">
      <c r="A345" t="s">
        <v>442</v>
      </c>
      <c r="B345" t="s">
        <v>74</v>
      </c>
      <c r="C345">
        <v>1</v>
      </c>
      <c r="D345">
        <v>0</v>
      </c>
    </row>
    <row r="346" spans="1:4" x14ac:dyDescent="0.2">
      <c r="A346" t="s">
        <v>443</v>
      </c>
      <c r="B346" t="s">
        <v>320</v>
      </c>
      <c r="C346">
        <v>1</v>
      </c>
      <c r="D346">
        <v>1</v>
      </c>
    </row>
    <row r="347" spans="1:4" x14ac:dyDescent="0.2">
      <c r="A347" t="s">
        <v>444</v>
      </c>
      <c r="B347" t="s">
        <v>332</v>
      </c>
      <c r="C347">
        <v>1</v>
      </c>
      <c r="D347">
        <v>0</v>
      </c>
    </row>
    <row r="348" spans="1:4" x14ac:dyDescent="0.2">
      <c r="A348" t="s">
        <v>445</v>
      </c>
      <c r="B348" t="s">
        <v>89</v>
      </c>
      <c r="C348">
        <v>1</v>
      </c>
      <c r="D348">
        <v>0</v>
      </c>
    </row>
    <row r="349" spans="1:4" x14ac:dyDescent="0.2">
      <c r="A349" t="s">
        <v>446</v>
      </c>
      <c r="B349" t="s">
        <v>112</v>
      </c>
      <c r="C349">
        <v>0</v>
      </c>
      <c r="D349">
        <v>0</v>
      </c>
    </row>
    <row r="350" spans="1:4" x14ac:dyDescent="0.2">
      <c r="A350" t="s">
        <v>447</v>
      </c>
      <c r="B350" t="s">
        <v>257</v>
      </c>
      <c r="C350">
        <v>0</v>
      </c>
      <c r="D350">
        <v>0</v>
      </c>
    </row>
    <row r="351" spans="1:4" x14ac:dyDescent="0.2">
      <c r="A351" t="s">
        <v>448</v>
      </c>
      <c r="B351" t="s">
        <v>294</v>
      </c>
      <c r="C351">
        <v>0</v>
      </c>
      <c r="D351">
        <v>1</v>
      </c>
    </row>
    <row r="352" spans="1:4" x14ac:dyDescent="0.2">
      <c r="A352" t="s">
        <v>449</v>
      </c>
      <c r="B352" t="s">
        <v>40</v>
      </c>
      <c r="C352">
        <v>0</v>
      </c>
      <c r="D352">
        <v>0</v>
      </c>
    </row>
    <row r="353" spans="1:4" x14ac:dyDescent="0.2">
      <c r="A353" t="s">
        <v>450</v>
      </c>
      <c r="B353" t="s">
        <v>13</v>
      </c>
      <c r="C353">
        <v>1</v>
      </c>
      <c r="D353">
        <v>0</v>
      </c>
    </row>
    <row r="354" spans="1:4" x14ac:dyDescent="0.2">
      <c r="A354" t="s">
        <v>451</v>
      </c>
      <c r="B354" t="s">
        <v>191</v>
      </c>
      <c r="C354">
        <v>0</v>
      </c>
      <c r="D354">
        <v>0</v>
      </c>
    </row>
    <row r="355" spans="1:4" x14ac:dyDescent="0.2">
      <c r="A355" t="s">
        <v>452</v>
      </c>
      <c r="B355" t="s">
        <v>51</v>
      </c>
      <c r="C355">
        <v>1</v>
      </c>
      <c r="D355">
        <v>0</v>
      </c>
    </row>
    <row r="356" spans="1:4" x14ac:dyDescent="0.2">
      <c r="A356" t="s">
        <v>453</v>
      </c>
      <c r="B356" t="s">
        <v>94</v>
      </c>
      <c r="C356">
        <v>0</v>
      </c>
      <c r="D356">
        <v>0</v>
      </c>
    </row>
    <row r="357" spans="1:4" x14ac:dyDescent="0.2">
      <c r="A357" t="s">
        <v>454</v>
      </c>
      <c r="B357" t="s">
        <v>9</v>
      </c>
      <c r="C357">
        <v>1</v>
      </c>
      <c r="D357">
        <v>0</v>
      </c>
    </row>
    <row r="358" spans="1:4" x14ac:dyDescent="0.2">
      <c r="A358" t="s">
        <v>455</v>
      </c>
      <c r="B358" t="s">
        <v>188</v>
      </c>
      <c r="C358">
        <v>0</v>
      </c>
      <c r="D358">
        <v>1</v>
      </c>
    </row>
    <row r="359" spans="1:4" x14ac:dyDescent="0.2">
      <c r="A359" t="s">
        <v>456</v>
      </c>
      <c r="B359" t="s">
        <v>228</v>
      </c>
      <c r="C359">
        <v>0</v>
      </c>
      <c r="D359">
        <v>0</v>
      </c>
    </row>
    <row r="360" spans="1:4" x14ac:dyDescent="0.2">
      <c r="A360" t="s">
        <v>457</v>
      </c>
      <c r="B360" t="s">
        <v>149</v>
      </c>
      <c r="C360">
        <v>0</v>
      </c>
      <c r="D360">
        <v>0</v>
      </c>
    </row>
    <row r="361" spans="1:4" x14ac:dyDescent="0.2">
      <c r="A361" t="s">
        <v>458</v>
      </c>
      <c r="B361" t="s">
        <v>27</v>
      </c>
      <c r="C361">
        <v>0</v>
      </c>
      <c r="D361">
        <v>1</v>
      </c>
    </row>
    <row r="362" spans="1:4" x14ac:dyDescent="0.2">
      <c r="A362" t="s">
        <v>459</v>
      </c>
      <c r="B362" t="s">
        <v>42</v>
      </c>
      <c r="C362">
        <v>1</v>
      </c>
      <c r="D362">
        <v>1</v>
      </c>
    </row>
    <row r="363" spans="1:4" x14ac:dyDescent="0.2">
      <c r="A363" t="s">
        <v>460</v>
      </c>
      <c r="B363" t="s">
        <v>301</v>
      </c>
      <c r="C363">
        <v>0</v>
      </c>
      <c r="D363">
        <v>0</v>
      </c>
    </row>
    <row r="364" spans="1:4" x14ac:dyDescent="0.2">
      <c r="A364" t="s">
        <v>461</v>
      </c>
      <c r="B364" t="s">
        <v>54</v>
      </c>
      <c r="C364">
        <v>0</v>
      </c>
      <c r="D364">
        <v>0</v>
      </c>
    </row>
    <row r="365" spans="1:4" x14ac:dyDescent="0.2">
      <c r="A365" t="s">
        <v>462</v>
      </c>
      <c r="B365" t="s">
        <v>194</v>
      </c>
      <c r="C365">
        <v>1</v>
      </c>
      <c r="D365">
        <v>1</v>
      </c>
    </row>
    <row r="366" spans="1:4" x14ac:dyDescent="0.2">
      <c r="A366" t="s">
        <v>463</v>
      </c>
      <c r="B366" t="s">
        <v>103</v>
      </c>
      <c r="C366">
        <v>0</v>
      </c>
      <c r="D366">
        <v>0</v>
      </c>
    </row>
    <row r="367" spans="1:4" x14ac:dyDescent="0.2">
      <c r="A367" t="s">
        <v>464</v>
      </c>
      <c r="B367" t="s">
        <v>54</v>
      </c>
      <c r="C367">
        <v>0</v>
      </c>
      <c r="D367">
        <v>0</v>
      </c>
    </row>
    <row r="368" spans="1:4" x14ac:dyDescent="0.2">
      <c r="A368" t="s">
        <v>465</v>
      </c>
      <c r="B368" t="s">
        <v>82</v>
      </c>
      <c r="C368">
        <v>0</v>
      </c>
      <c r="D368">
        <v>1</v>
      </c>
    </row>
    <row r="369" spans="1:4" x14ac:dyDescent="0.2">
      <c r="A369" t="s">
        <v>466</v>
      </c>
      <c r="B369" t="s">
        <v>273</v>
      </c>
      <c r="C369">
        <v>0</v>
      </c>
      <c r="D369">
        <v>0</v>
      </c>
    </row>
    <row r="370" spans="1:4" x14ac:dyDescent="0.2">
      <c r="A370" t="s">
        <v>467</v>
      </c>
      <c r="B370" t="s">
        <v>367</v>
      </c>
      <c r="C370">
        <v>0</v>
      </c>
      <c r="D370">
        <v>0</v>
      </c>
    </row>
    <row r="371" spans="1:4" x14ac:dyDescent="0.2">
      <c r="A371" t="s">
        <v>468</v>
      </c>
      <c r="B371" t="s">
        <v>184</v>
      </c>
      <c r="C371">
        <v>0</v>
      </c>
      <c r="D371">
        <v>0</v>
      </c>
    </row>
    <row r="372" spans="1:4" x14ac:dyDescent="0.2">
      <c r="A372" t="s">
        <v>469</v>
      </c>
      <c r="B372" t="s">
        <v>273</v>
      </c>
      <c r="C372">
        <v>1</v>
      </c>
      <c r="D372">
        <v>0</v>
      </c>
    </row>
    <row r="373" spans="1:4" x14ac:dyDescent="0.2">
      <c r="A373" t="s">
        <v>470</v>
      </c>
      <c r="B373" t="s">
        <v>19</v>
      </c>
      <c r="C373">
        <v>1</v>
      </c>
      <c r="D373">
        <v>0</v>
      </c>
    </row>
    <row r="374" spans="1:4" x14ac:dyDescent="0.2">
      <c r="A374" t="s">
        <v>471</v>
      </c>
      <c r="B374" t="s">
        <v>257</v>
      </c>
      <c r="C374">
        <v>1</v>
      </c>
      <c r="D374">
        <v>1</v>
      </c>
    </row>
    <row r="375" spans="1:4" x14ac:dyDescent="0.2">
      <c r="A375" t="s">
        <v>472</v>
      </c>
      <c r="B375" t="s">
        <v>42</v>
      </c>
      <c r="C375">
        <v>1</v>
      </c>
      <c r="D375">
        <v>1</v>
      </c>
    </row>
    <row r="376" spans="1:4" x14ac:dyDescent="0.2">
      <c r="A376" t="s">
        <v>473</v>
      </c>
      <c r="B376" t="s">
        <v>144</v>
      </c>
      <c r="C376">
        <v>0</v>
      </c>
      <c r="D376">
        <v>1</v>
      </c>
    </row>
    <row r="377" spans="1:4" x14ac:dyDescent="0.2">
      <c r="A377" t="s">
        <v>474</v>
      </c>
      <c r="B377" t="s">
        <v>196</v>
      </c>
      <c r="C377">
        <v>1</v>
      </c>
      <c r="D377">
        <v>1</v>
      </c>
    </row>
    <row r="378" spans="1:4" x14ac:dyDescent="0.2">
      <c r="A378" t="s">
        <v>475</v>
      </c>
      <c r="B378" t="s">
        <v>172</v>
      </c>
      <c r="C378">
        <v>1</v>
      </c>
      <c r="D378">
        <v>0</v>
      </c>
    </row>
    <row r="379" spans="1:4" x14ac:dyDescent="0.2">
      <c r="A379" t="s">
        <v>476</v>
      </c>
      <c r="B379" t="s">
        <v>154</v>
      </c>
      <c r="C379">
        <v>0</v>
      </c>
      <c r="D379">
        <v>0</v>
      </c>
    </row>
    <row r="380" spans="1:4" x14ac:dyDescent="0.2">
      <c r="A380" t="s">
        <v>477</v>
      </c>
      <c r="B380" t="s">
        <v>72</v>
      </c>
      <c r="C380">
        <v>1</v>
      </c>
      <c r="D380">
        <v>0</v>
      </c>
    </row>
    <row r="381" spans="1:4" x14ac:dyDescent="0.2">
      <c r="A381" t="s">
        <v>478</v>
      </c>
      <c r="B381" t="s">
        <v>141</v>
      </c>
      <c r="C381">
        <v>1</v>
      </c>
      <c r="D381">
        <v>0</v>
      </c>
    </row>
    <row r="382" spans="1:4" x14ac:dyDescent="0.2">
      <c r="A382" t="s">
        <v>479</v>
      </c>
      <c r="B382" t="s">
        <v>332</v>
      </c>
      <c r="C382">
        <v>0</v>
      </c>
      <c r="D382">
        <v>0</v>
      </c>
    </row>
    <row r="383" spans="1:4" x14ac:dyDescent="0.2">
      <c r="A383" t="s">
        <v>480</v>
      </c>
      <c r="B383" t="s">
        <v>135</v>
      </c>
      <c r="C383">
        <v>0</v>
      </c>
      <c r="D383">
        <v>1</v>
      </c>
    </row>
    <row r="384" spans="1:4" x14ac:dyDescent="0.2">
      <c r="A384" t="s">
        <v>481</v>
      </c>
      <c r="B384" t="s">
        <v>326</v>
      </c>
      <c r="C384">
        <v>0</v>
      </c>
      <c r="D384">
        <v>1</v>
      </c>
    </row>
    <row r="385" spans="1:4" x14ac:dyDescent="0.2">
      <c r="A385" t="s">
        <v>482</v>
      </c>
      <c r="B385" t="s">
        <v>236</v>
      </c>
      <c r="C385">
        <v>0</v>
      </c>
      <c r="D385">
        <v>1</v>
      </c>
    </row>
    <row r="386" spans="1:4" x14ac:dyDescent="0.2">
      <c r="A386" t="s">
        <v>483</v>
      </c>
      <c r="B386" t="s">
        <v>230</v>
      </c>
      <c r="C386">
        <v>0</v>
      </c>
      <c r="D386">
        <v>0</v>
      </c>
    </row>
    <row r="387" spans="1:4" x14ac:dyDescent="0.2">
      <c r="A387" t="s">
        <v>484</v>
      </c>
      <c r="B387" t="s">
        <v>107</v>
      </c>
      <c r="C387">
        <v>0</v>
      </c>
      <c r="D387">
        <v>0</v>
      </c>
    </row>
    <row r="388" spans="1:4" x14ac:dyDescent="0.2">
      <c r="A388" t="s">
        <v>485</v>
      </c>
      <c r="B388" t="s">
        <v>203</v>
      </c>
      <c r="C388">
        <v>0</v>
      </c>
      <c r="D388">
        <v>1</v>
      </c>
    </row>
    <row r="389" spans="1:4" x14ac:dyDescent="0.2">
      <c r="A389" t="s">
        <v>486</v>
      </c>
      <c r="B389" t="s">
        <v>188</v>
      </c>
      <c r="C389">
        <v>1</v>
      </c>
      <c r="D389">
        <v>0</v>
      </c>
    </row>
  </sheetData>
  <mergeCells count="2">
    <mergeCell ref="H3:J3"/>
    <mergeCell ref="O3:P3"/>
  </mergeCells>
  <conditionalFormatting sqref="S6:T10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predictions_finetuned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Paanugoban Kugathasan</dc:creator>
  <cp:lastModifiedBy>Paanugoban Kugathasan</cp:lastModifiedBy>
  <dcterms:created xsi:type="dcterms:W3CDTF">2023-11-21T17:53:33Z</dcterms:created>
  <dcterms:modified xsi:type="dcterms:W3CDTF">2023-11-21T17:55:24Z</dcterms:modified>
</cp:coreProperties>
</file>